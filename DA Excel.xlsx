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06638BE7-4E60-4193-B693-19AE88E45FC0}" xr6:coauthVersionLast="47" xr6:coauthVersionMax="47" xr10:uidLastSave="{00000000-0000-0000-0000-000000000000}"/>
  <bookViews>
    <workbookView xWindow="-120" yWindow="-120" windowWidth="29040" windowHeight="15720" xr2:uid="{F08FF308-B3BE-4EC0-AEDF-08B98E244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6" i="1" l="1"/>
  <c r="M95" i="1"/>
  <c r="M94" i="1"/>
  <c r="M93" i="1"/>
  <c r="M92" i="1"/>
  <c r="M91" i="1"/>
  <c r="M90" i="1"/>
  <c r="M89" i="1"/>
  <c r="B157" i="1" l="1"/>
  <c r="L5" i="1"/>
  <c r="K5" i="1"/>
  <c r="J5" i="1"/>
  <c r="L2" i="1"/>
  <c r="K2" i="1"/>
  <c r="J2" i="1"/>
  <c r="M53" i="1"/>
  <c r="N53" i="1"/>
  <c r="M54" i="1"/>
  <c r="N54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W172" i="1" l="1"/>
  <c r="P95" i="1"/>
  <c r="M87" i="1"/>
  <c r="M84" i="1"/>
  <c r="M88" i="1"/>
  <c r="M85" i="1"/>
  <c r="Q74" i="1"/>
  <c r="Q75" i="1"/>
  <c r="Q76" i="1"/>
  <c r="Q77" i="1"/>
  <c r="Q78" i="1"/>
  <c r="Q79" i="1"/>
  <c r="Q80" i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74" i="1"/>
  <c r="P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74" i="1"/>
  <c r="O74" i="1" s="1"/>
  <c r="N61" i="1"/>
  <c r="N62" i="1"/>
  <c r="N63" i="1"/>
  <c r="N64" i="1"/>
  <c r="N65" i="1"/>
  <c r="N66" i="1"/>
  <c r="N67" i="1"/>
  <c r="N68" i="1"/>
  <c r="N60" i="1"/>
  <c r="O61" i="1"/>
  <c r="O62" i="1"/>
  <c r="O63" i="1"/>
  <c r="O64" i="1"/>
  <c r="O65" i="1"/>
  <c r="O66" i="1"/>
  <c r="O67" i="1"/>
  <c r="O68" i="1"/>
  <c r="O60" i="1"/>
  <c r="L61" i="1"/>
  <c r="L62" i="1"/>
  <c r="L63" i="1"/>
  <c r="L64" i="1"/>
  <c r="L65" i="1"/>
  <c r="L66" i="1"/>
  <c r="L67" i="1"/>
  <c r="L68" i="1"/>
  <c r="L60" i="1"/>
  <c r="C82" i="1"/>
  <c r="C83" i="1"/>
  <c r="B80" i="1"/>
  <c r="B79" i="1"/>
  <c r="B78" i="1"/>
  <c r="C76" i="1"/>
  <c r="C75" i="1"/>
  <c r="C73" i="1"/>
  <c r="C72" i="1"/>
  <c r="C63" i="1"/>
  <c r="C62" i="1"/>
  <c r="U57" i="1"/>
  <c r="U56" i="1"/>
  <c r="U55" i="1"/>
  <c r="U54" i="1"/>
  <c r="U52" i="1"/>
  <c r="U51" i="1"/>
  <c r="U50" i="1"/>
  <c r="V37" i="1"/>
  <c r="R39" i="1"/>
  <c r="U49" i="1"/>
  <c r="W3" i="1" a="1"/>
  <c r="W3" i="1" s="1"/>
  <c r="Q6" i="1"/>
  <c r="Q9" i="1"/>
  <c r="Q12" i="1"/>
  <c r="Q15" i="1"/>
  <c r="U3" i="1" a="1"/>
  <c r="U3" i="1" s="1"/>
  <c r="U19" i="1" a="1"/>
  <c r="U19" i="1" s="1"/>
  <c r="S19" i="1" a="1"/>
  <c r="S19" i="1" s="1"/>
  <c r="T4" i="1" a="1"/>
  <c r="T4" i="1" s="1"/>
  <c r="R15" i="1"/>
  <c r="R12" i="1"/>
  <c r="R9" i="1"/>
  <c r="R6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N199" i="1"/>
  <c r="M199" i="1"/>
  <c r="N198" i="1"/>
  <c r="M198" i="1"/>
  <c r="N158" i="1"/>
  <c r="M158" i="1"/>
  <c r="N157" i="1"/>
  <c r="M157" i="1"/>
  <c r="N98" i="1"/>
  <c r="M98" i="1"/>
  <c r="N97" i="1"/>
  <c r="M97" i="1"/>
  <c r="N96" i="1"/>
  <c r="N95" i="1"/>
  <c r="N94" i="1"/>
  <c r="N93" i="1"/>
  <c r="N52" i="1"/>
  <c r="M52" i="1"/>
  <c r="O51" i="1"/>
  <c r="Q37" i="1" s="1"/>
  <c r="N51" i="1"/>
  <c r="M51" i="1"/>
  <c r="I51" i="1"/>
  <c r="O50" i="1"/>
  <c r="N50" i="1"/>
  <c r="M50" i="1"/>
  <c r="I50" i="1"/>
  <c r="O49" i="1"/>
  <c r="N49" i="1"/>
  <c r="M49" i="1"/>
  <c r="I49" i="1"/>
  <c r="O48" i="1"/>
  <c r="N48" i="1"/>
  <c r="M48" i="1"/>
  <c r="I48" i="1"/>
  <c r="O47" i="1"/>
  <c r="N47" i="1"/>
  <c r="M47" i="1"/>
  <c r="I47" i="1"/>
  <c r="O46" i="1"/>
  <c r="N46" i="1"/>
  <c r="M46" i="1"/>
  <c r="I46" i="1"/>
  <c r="O45" i="1"/>
  <c r="N45" i="1"/>
  <c r="M45" i="1"/>
  <c r="I45" i="1"/>
  <c r="O44" i="1"/>
  <c r="N44" i="1"/>
  <c r="M44" i="1"/>
  <c r="I44" i="1"/>
  <c r="O43" i="1"/>
  <c r="N43" i="1"/>
  <c r="M43" i="1"/>
  <c r="I43" i="1"/>
  <c r="O42" i="1"/>
  <c r="N42" i="1"/>
  <c r="M42" i="1"/>
  <c r="I42" i="1"/>
  <c r="O41" i="1"/>
  <c r="N41" i="1"/>
  <c r="M41" i="1"/>
  <c r="I41" i="1"/>
  <c r="O40" i="1"/>
  <c r="N40" i="1"/>
  <c r="M40" i="1"/>
  <c r="I40" i="1"/>
  <c r="O39" i="1"/>
  <c r="N39" i="1"/>
  <c r="M39" i="1"/>
  <c r="I39" i="1"/>
  <c r="O38" i="1"/>
  <c r="N38" i="1"/>
  <c r="M38" i="1"/>
  <c r="I38" i="1"/>
  <c r="O37" i="1"/>
  <c r="N37" i="1"/>
  <c r="M37" i="1"/>
  <c r="I37" i="1"/>
  <c r="O36" i="1"/>
  <c r="N36" i="1"/>
  <c r="M36" i="1"/>
  <c r="I36" i="1"/>
  <c r="O35" i="1"/>
  <c r="N35" i="1"/>
  <c r="M35" i="1"/>
  <c r="I35" i="1"/>
  <c r="O34" i="1"/>
  <c r="N34" i="1"/>
  <c r="M34" i="1"/>
  <c r="I34" i="1"/>
  <c r="O33" i="1"/>
  <c r="N33" i="1"/>
  <c r="M33" i="1"/>
  <c r="I33" i="1"/>
  <c r="O32" i="1"/>
  <c r="N32" i="1"/>
  <c r="M32" i="1"/>
  <c r="I32" i="1"/>
  <c r="N31" i="1"/>
  <c r="M31" i="1"/>
  <c r="I31" i="1"/>
  <c r="N30" i="1"/>
  <c r="M30" i="1"/>
  <c r="I30" i="1"/>
  <c r="N29" i="1"/>
  <c r="M29" i="1"/>
  <c r="I29" i="1"/>
  <c r="N28" i="1"/>
  <c r="M28" i="1"/>
  <c r="I28" i="1"/>
  <c r="N27" i="1"/>
  <c r="M27" i="1"/>
  <c r="I27" i="1"/>
  <c r="N26" i="1"/>
  <c r="M26" i="1"/>
  <c r="I26" i="1"/>
  <c r="N25" i="1"/>
  <c r="M25" i="1"/>
  <c r="I25" i="1"/>
  <c r="N24" i="1"/>
  <c r="M24" i="1"/>
  <c r="I24" i="1"/>
  <c r="N23" i="1"/>
  <c r="M23" i="1"/>
  <c r="I23" i="1"/>
  <c r="N22" i="1"/>
  <c r="M22" i="1"/>
  <c r="I22" i="1"/>
  <c r="N21" i="1"/>
  <c r="M21" i="1"/>
  <c r="I21" i="1"/>
  <c r="N20" i="1"/>
  <c r="M20" i="1"/>
  <c r="I20" i="1"/>
  <c r="N19" i="1"/>
  <c r="M19" i="1"/>
  <c r="I19" i="1"/>
  <c r="N18" i="1"/>
  <c r="M18" i="1"/>
  <c r="I18" i="1"/>
  <c r="N17" i="1"/>
  <c r="M17" i="1"/>
  <c r="I17" i="1"/>
  <c r="N16" i="1"/>
  <c r="M16" i="1"/>
  <c r="I16" i="1"/>
  <c r="N15" i="1"/>
  <c r="M15" i="1"/>
  <c r="I15" i="1"/>
  <c r="N14" i="1"/>
  <c r="M14" i="1"/>
  <c r="I14" i="1"/>
  <c r="N13" i="1"/>
  <c r="M13" i="1"/>
  <c r="I13" i="1"/>
  <c r="N12" i="1"/>
  <c r="M12" i="1"/>
  <c r="I12" i="1"/>
  <c r="N11" i="1"/>
  <c r="M11" i="1"/>
  <c r="I11" i="1"/>
  <c r="N10" i="1"/>
  <c r="M10" i="1"/>
  <c r="I10" i="1"/>
  <c r="N9" i="1"/>
  <c r="M9" i="1"/>
  <c r="I9" i="1"/>
  <c r="N8" i="1"/>
  <c r="M8" i="1"/>
  <c r="I8" i="1"/>
  <c r="N7" i="1"/>
  <c r="M7" i="1"/>
  <c r="I7" i="1"/>
  <c r="N6" i="1"/>
  <c r="M6" i="1"/>
  <c r="I6" i="1"/>
  <c r="N5" i="1"/>
  <c r="M5" i="1"/>
  <c r="I5" i="1"/>
  <c r="N4" i="1"/>
  <c r="M4" i="1"/>
  <c r="I4" i="1"/>
  <c r="N3" i="1"/>
  <c r="M3" i="1"/>
  <c r="I3" i="1"/>
  <c r="O2" i="1"/>
  <c r="N2" i="1"/>
  <c r="M2" i="1"/>
  <c r="I2" i="1"/>
  <c r="M86" i="1" l="1"/>
  <c r="R78" i="1"/>
  <c r="R77" i="1"/>
  <c r="R76" i="1"/>
  <c r="R75" i="1"/>
  <c r="R80" i="1"/>
  <c r="R79" i="1"/>
  <c r="R74" i="1"/>
  <c r="U37" i="1"/>
  <c r="T37" i="1"/>
  <c r="S37" i="1"/>
  <c r="R38" i="1"/>
  <c r="R37" i="1"/>
  <c r="Y3" i="1" a="1"/>
  <c r="Y3" i="1" s="1"/>
  <c r="U31" i="1"/>
  <c r="U30" i="1"/>
  <c r="U29" i="1"/>
  <c r="U28" i="1"/>
  <c r="U27" i="1"/>
  <c r="U26" i="1"/>
  <c r="U25" i="1"/>
  <c r="U24" i="1"/>
  <c r="U23" i="1"/>
  <c r="U22" i="1"/>
  <c r="U21" i="1"/>
  <c r="U20" i="1"/>
  <c r="S31" i="1"/>
  <c r="S30" i="1"/>
  <c r="S29" i="1"/>
  <c r="S28" i="1"/>
  <c r="S27" i="1"/>
  <c r="S26" i="1"/>
  <c r="S25" i="1"/>
  <c r="S24" i="1"/>
  <c r="S23" i="1"/>
  <c r="S22" i="1"/>
  <c r="S21" i="1"/>
  <c r="S20" i="1"/>
  <c r="T16" i="1"/>
  <c r="T15" i="1"/>
  <c r="T14" i="1"/>
  <c r="T13" i="1"/>
  <c r="T12" i="1"/>
  <c r="T11" i="1"/>
  <c r="T10" i="1"/>
  <c r="T9" i="1"/>
  <c r="T8" i="1"/>
  <c r="T7" i="1"/>
  <c r="T6" i="1"/>
  <c r="T5" i="1"/>
  <c r="Y15" i="1"/>
  <c r="Y14" i="1"/>
  <c r="Y13" i="1"/>
  <c r="Y12" i="1"/>
  <c r="Y11" i="1"/>
  <c r="Y10" i="1"/>
  <c r="Y9" i="1"/>
  <c r="Y8" i="1"/>
  <c r="Y7" i="1"/>
  <c r="Y6" i="1"/>
  <c r="Y5" i="1"/>
  <c r="Y4" i="1"/>
  <c r="W15" i="1"/>
  <c r="W14" i="1"/>
  <c r="W13" i="1"/>
  <c r="W12" i="1"/>
  <c r="W11" i="1"/>
  <c r="W10" i="1"/>
  <c r="W9" i="1"/>
  <c r="W8" i="1"/>
  <c r="W7" i="1"/>
  <c r="W6" i="1"/>
  <c r="W5" i="1"/>
  <c r="W4" i="1"/>
  <c r="U15" i="1"/>
  <c r="U14" i="1"/>
  <c r="U13" i="1"/>
  <c r="U12" i="1"/>
  <c r="U11" i="1"/>
  <c r="U10" i="1"/>
  <c r="U9" i="1"/>
  <c r="U8" i="1"/>
  <c r="U7" i="1"/>
  <c r="U6" i="1"/>
  <c r="U5" i="1"/>
  <c r="U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<sst xmlns="http://schemas.openxmlformats.org/spreadsheetml/2006/main" count="728" uniqueCount="232">
  <si>
    <t>Branch</t>
  </si>
  <si>
    <t>Category</t>
  </si>
  <si>
    <t>Sub_Category</t>
  </si>
  <si>
    <t>Price</t>
  </si>
  <si>
    <t>Cost_Price</t>
  </si>
  <si>
    <t>Payment_Type</t>
  </si>
  <si>
    <t>round</t>
  </si>
  <si>
    <t>square root</t>
  </si>
  <si>
    <t>min</t>
  </si>
  <si>
    <t>max</t>
  </si>
  <si>
    <t>sum</t>
  </si>
  <si>
    <t>left</t>
  </si>
  <si>
    <t>right</t>
  </si>
  <si>
    <t>length</t>
  </si>
  <si>
    <t>Austin-Texas</t>
  </si>
  <si>
    <t>Arts &amp; Crafts</t>
  </si>
  <si>
    <t>Crafting</t>
  </si>
  <si>
    <t>Cash</t>
  </si>
  <si>
    <t>median</t>
  </si>
  <si>
    <t>rank</t>
  </si>
  <si>
    <t>average</t>
  </si>
  <si>
    <t>ATM card</t>
  </si>
  <si>
    <t>San Francisco-Carlifornia</t>
  </si>
  <si>
    <t>Houston-Texas</t>
  </si>
  <si>
    <t>Buffalo-New York</t>
  </si>
  <si>
    <t>Mobile payment</t>
  </si>
  <si>
    <t>Fabric</t>
  </si>
  <si>
    <t>Fabric Decorating</t>
  </si>
  <si>
    <t>Gift Wrapping Supplies</t>
  </si>
  <si>
    <t>Knitting &amp; Crochet</t>
  </si>
  <si>
    <t>Needlework</t>
  </si>
  <si>
    <t>Sewing</t>
  </si>
  <si>
    <t>Automotive</t>
  </si>
  <si>
    <t>DATE</t>
  </si>
  <si>
    <t>Todat</t>
  </si>
  <si>
    <t>EOMONTH</t>
  </si>
  <si>
    <t>NETWORK DAYS</t>
  </si>
  <si>
    <t>weekday</t>
  </si>
  <si>
    <t>year</t>
  </si>
  <si>
    <t>month</t>
  </si>
  <si>
    <t>day</t>
  </si>
  <si>
    <t>Advance Excel</t>
  </si>
  <si>
    <t>Text Functions</t>
  </si>
  <si>
    <t>FIND</t>
  </si>
  <si>
    <t>old text</t>
  </si>
  <si>
    <t>NEW</t>
  </si>
  <si>
    <t>REPLACE</t>
  </si>
  <si>
    <t>SUBSTITUTE</t>
  </si>
  <si>
    <t>MID</t>
  </si>
  <si>
    <t>SEARCH</t>
  </si>
  <si>
    <t>CONCAT</t>
  </si>
  <si>
    <t>Maths Functions</t>
  </si>
  <si>
    <t>Date</t>
  </si>
  <si>
    <t>COLOR</t>
  </si>
  <si>
    <t>Region</t>
  </si>
  <si>
    <t>Product</t>
  </si>
  <si>
    <t>Value</t>
  </si>
  <si>
    <t>Mouse</t>
  </si>
  <si>
    <t>keyboard</t>
  </si>
  <si>
    <t>monitor</t>
  </si>
  <si>
    <t>Red</t>
  </si>
  <si>
    <t>Blue</t>
  </si>
  <si>
    <t>Yellow</t>
  </si>
  <si>
    <t>White</t>
  </si>
  <si>
    <t>Ap</t>
  </si>
  <si>
    <t>Karnataka</t>
  </si>
  <si>
    <t>MH</t>
  </si>
  <si>
    <t>Total</t>
  </si>
  <si>
    <t>Fact</t>
  </si>
  <si>
    <t>RoundUp</t>
  </si>
  <si>
    <t>RoundDown</t>
  </si>
  <si>
    <t>Mod</t>
  </si>
  <si>
    <t>Red+Ap</t>
  </si>
  <si>
    <t>Red+Ap+Mouse</t>
  </si>
  <si>
    <t>SUMIF</t>
  </si>
  <si>
    <t>SUMIFS</t>
  </si>
  <si>
    <t>Avg</t>
  </si>
  <si>
    <t>AvgIF</t>
  </si>
  <si>
    <t>AVERAGEIFS</t>
  </si>
  <si>
    <t>LOOKUP FUNCTIONS</t>
  </si>
  <si>
    <t>VLOOKUP</t>
  </si>
  <si>
    <t>mouse</t>
  </si>
  <si>
    <t>blue</t>
  </si>
  <si>
    <t>HLOOKUP</t>
  </si>
  <si>
    <t>Match</t>
  </si>
  <si>
    <t>black</t>
  </si>
  <si>
    <t>yellow</t>
  </si>
  <si>
    <t>INDEX</t>
  </si>
  <si>
    <t>XLOOKUP</t>
  </si>
  <si>
    <t>IF</t>
  </si>
  <si>
    <t>marks</t>
  </si>
  <si>
    <t>age</t>
  </si>
  <si>
    <t>age_bins(nested IF else)</t>
  </si>
  <si>
    <t>if else</t>
  </si>
  <si>
    <t>logical Functions</t>
  </si>
  <si>
    <t>maths</t>
  </si>
  <si>
    <t>science</t>
  </si>
  <si>
    <t>AND</t>
  </si>
  <si>
    <t>RESULT(AND)</t>
  </si>
  <si>
    <t>RESULT(OR)</t>
  </si>
  <si>
    <t>OR</t>
  </si>
  <si>
    <t>conditional Func</t>
  </si>
  <si>
    <t>XOR</t>
  </si>
  <si>
    <t>NOT(AND)</t>
  </si>
  <si>
    <t>Statistical Func</t>
  </si>
  <si>
    <t>Count</t>
  </si>
  <si>
    <t>countif</t>
  </si>
  <si>
    <t>countifs</t>
  </si>
  <si>
    <t>countblank</t>
  </si>
  <si>
    <t>countA</t>
  </si>
  <si>
    <t>mean</t>
  </si>
  <si>
    <t>mode</t>
  </si>
  <si>
    <t>std.p</t>
  </si>
  <si>
    <t>std.s</t>
  </si>
  <si>
    <t>var.p</t>
  </si>
  <si>
    <t>var.s</t>
  </si>
  <si>
    <t>corre</t>
  </si>
  <si>
    <t>Categorical data</t>
  </si>
  <si>
    <t>count</t>
  </si>
  <si>
    <t>Insert Img</t>
  </si>
  <si>
    <t>Logo</t>
  </si>
  <si>
    <t>Sales</t>
  </si>
  <si>
    <t>Netflix</t>
  </si>
  <si>
    <t>Google</t>
  </si>
  <si>
    <t>Amazon</t>
  </si>
  <si>
    <t>Company</t>
  </si>
  <si>
    <t>Formatting</t>
  </si>
  <si>
    <t>Order No</t>
  </si>
  <si>
    <t>Order Date</t>
  </si>
  <si>
    <t>Cus Name</t>
  </si>
  <si>
    <t>Ship Date</t>
  </si>
  <si>
    <t>Retail Price</t>
  </si>
  <si>
    <t>Akhi</t>
  </si>
  <si>
    <t>31-06-2026</t>
  </si>
  <si>
    <t>Anu</t>
  </si>
  <si>
    <t>ammu</t>
  </si>
  <si>
    <t>31-06-2027</t>
  </si>
  <si>
    <t>asri</t>
  </si>
  <si>
    <t>tanu</t>
  </si>
  <si>
    <t>31-06-2028</t>
  </si>
  <si>
    <t>bhanu</t>
  </si>
  <si>
    <t>jyothi</t>
  </si>
  <si>
    <t>31-06-2029</t>
  </si>
  <si>
    <t>anisha</t>
  </si>
  <si>
    <t>abhi</t>
  </si>
  <si>
    <t>31-06-2030</t>
  </si>
  <si>
    <t>bhumi</t>
  </si>
  <si>
    <t>laxmi</t>
  </si>
  <si>
    <t>31-06-2031</t>
  </si>
  <si>
    <t>smiley</t>
  </si>
  <si>
    <t>kiyansh</t>
  </si>
  <si>
    <t>31-06-2032</t>
  </si>
  <si>
    <t>prasu</t>
  </si>
  <si>
    <t>sai</t>
  </si>
  <si>
    <t>31-06-2033</t>
  </si>
  <si>
    <t>manju</t>
  </si>
  <si>
    <t>bhuvana</t>
  </si>
  <si>
    <t>31-06-2034</t>
  </si>
  <si>
    <t>honey</t>
  </si>
  <si>
    <t>lekha</t>
  </si>
  <si>
    <t>31-06-2035</t>
  </si>
  <si>
    <t>teju</t>
  </si>
  <si>
    <t>Custom Format</t>
  </si>
  <si>
    <t>Number</t>
  </si>
  <si>
    <t>Hide Zeros</t>
  </si>
  <si>
    <t>Hide -ves</t>
  </si>
  <si>
    <t>only neg</t>
  </si>
  <si>
    <t>only zeros</t>
  </si>
  <si>
    <t>neg with text</t>
  </si>
  <si>
    <t>neg with value</t>
  </si>
  <si>
    <t>#.0</t>
  </si>
  <si>
    <t>#.00</t>
  </si>
  <si>
    <t>#.000</t>
  </si>
  <si>
    <t>Conditional Format</t>
  </si>
  <si>
    <t>retail price</t>
  </si>
  <si>
    <t>Charts</t>
  </si>
  <si>
    <t>mobile payment</t>
  </si>
  <si>
    <t>Gender</t>
  </si>
  <si>
    <t>Male</t>
  </si>
  <si>
    <t>Female</t>
  </si>
  <si>
    <t>10-20</t>
  </si>
  <si>
    <t>20-30</t>
  </si>
  <si>
    <t>Start</t>
  </si>
  <si>
    <t>end</t>
  </si>
  <si>
    <t>Interval</t>
  </si>
  <si>
    <t>Statistical Analysis Using Excel</t>
  </si>
  <si>
    <t>Correl</t>
  </si>
  <si>
    <t>Anova: Single Factor</t>
  </si>
  <si>
    <t>SUMMARY</t>
  </si>
  <si>
    <t>Groups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</si>
  <si>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</si>
  <si>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</si>
  <si>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</si>
  <si>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</si>
  <si>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</si>
  <si>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</si>
  <si>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</si>
  <si>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</si>
  <si>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</si>
  <si>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</si>
  <si>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</si>
  <si>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</si>
  <si>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</si>
  <si>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</si>
  <si>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</si>
  <si>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</si>
  <si>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</si>
  <si>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</si>
  <si>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</si>
  <si>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</si>
  <si>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</si>
  <si>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</si>
  <si>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</si>
  <si>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</si>
  <si>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</si>
  <si>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</si>
  <si>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</si>
  <si>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</si>
  <si>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</si>
  <si>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</si>
  <si>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</si>
  <si>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</si>
  <si>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Decriptive Statistics</t>
  </si>
  <si>
    <t>Student</t>
  </si>
  <si>
    <t>Maths</t>
  </si>
  <si>
    <t>Science</t>
  </si>
  <si>
    <t>Eng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</si>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</sst>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F800]dddd\,\ mmmm\ dd\,\ yyyy"/>
    <numFmt numFmtId="165" formatCode="00##"/>
    <numFmt numFmtId="166" formatCode="#,##0;\-#,##0;"/>
    <numFmt numFmtId="167" formatCode="#,##0;"/>
    <numFmt numFmtId="168" formatCode=";\-#,##0;"/>
    <numFmt numFmtId="169" formatCode=";;#,##0;"/>
    <numFmt numFmtId="170" formatCode="#,##0;&quot;Negative&quot;;"/>
    <numFmt numFmtId="171" formatCode="#,##0;\-#,##0\ &quot;Negative&quot;;"/>
    <numFmt numFmtId="172" formatCode="0.0"/>
    <numFmt numFmtId="173" formatCode="#.0"/>
    <numFmt numFmtId="174" formatCode="#.00"/>
    <numFmt numFmtId="175" formatCode="#.000"/>
    <numFmt numFmtId="176" formatCode="0&quot;-&quot;\1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onstantia"/>
      <family val="1"/>
    </font>
    <font>
      <sz val="11"/>
      <color rgb="FFFFFF00"/>
      <name val="Calibri"/>
      <family val="2"/>
      <scheme val="minor"/>
    </font>
    <font>
      <b/>
      <sz val="18"/>
      <color theme="1"/>
      <name val="Castellar"/>
      <family val="1"/>
    </font>
    <font>
      <b/>
      <sz val="14"/>
      <color theme="1"/>
      <name val="Bahnschrift Light"/>
      <family val="2"/>
    </font>
    <font>
      <b/>
      <sz val="12"/>
      <color theme="1"/>
      <name val="Bahnschrift"/>
      <family val="2"/>
    </font>
    <font>
      <b/>
      <sz val="16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0" fontId="7" fillId="9" borderId="0" applyNumberFormat="0" applyBorder="0" applyAlignment="0" applyProtection="0"/>
  </cellStyleXfs>
  <cellXfs count="93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2" borderId="0" xfId="0" applyFont="1" applyFill="1"/>
    <xf numFmtId="0" fontId="3" fillId="3" borderId="0" xfId="0" applyFont="1" applyFill="1"/>
    <xf numFmtId="0" fontId="4" fillId="6" borderId="1" xfId="0" applyFont="1" applyFill="1" applyBorder="1"/>
    <xf numFmtId="14" fontId="5" fillId="7" borderId="1" xfId="0" applyNumberFormat="1" applyFont="1" applyFill="1" applyBorder="1"/>
    <xf numFmtId="0" fontId="5" fillId="7" borderId="1" xfId="0" applyFont="1" applyFill="1" applyBorder="1"/>
    <xf numFmtId="0" fontId="6" fillId="8" borderId="0" xfId="0" applyFont="1" applyFill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5" fillId="0" borderId="0" xfId="0" applyFont="1"/>
    <xf numFmtId="0" fontId="8" fillId="9" borderId="0" xfId="1" applyFont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10" borderId="1" xfId="0" applyFont="1" applyFill="1" applyBorder="1"/>
    <xf numFmtId="0" fontId="6" fillId="11" borderId="1" xfId="0" applyFont="1" applyFill="1" applyBorder="1"/>
    <xf numFmtId="0" fontId="3" fillId="2" borderId="0" xfId="1" applyFont="1" applyFill="1"/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2" fillId="5" borderId="1" xfId="0" applyFont="1" applyFill="1" applyBorder="1"/>
    <xf numFmtId="164" fontId="12" fillId="5" borderId="1" xfId="0" applyNumberFormat="1" applyFont="1" applyFill="1" applyBorder="1"/>
    <xf numFmtId="3" fontId="12" fillId="5" borderId="1" xfId="0" applyNumberFormat="1" applyFont="1" applyFill="1" applyBorder="1"/>
    <xf numFmtId="0" fontId="0" fillId="13" borderId="1" xfId="0" applyFill="1" applyBorder="1" applyAlignment="1">
      <alignment horizontal="left"/>
    </xf>
    <xf numFmtId="164" fontId="0" fillId="13" borderId="1" xfId="0" applyNumberFormat="1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justify"/>
    </xf>
    <xf numFmtId="165" fontId="0" fillId="14" borderId="1" xfId="0" applyNumberFormat="1" applyFill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" fontId="0" fillId="0" borderId="0" xfId="0" applyNumberFormat="1"/>
    <xf numFmtId="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72" fontId="1" fillId="5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1" fillId="11" borderId="1" xfId="0" applyFont="1" applyFill="1" applyBorder="1"/>
    <xf numFmtId="0" fontId="0" fillId="4" borderId="1" xfId="0" applyFill="1" applyBorder="1" applyAlignment="1">
      <alignment horizontal="left" vertical="justify"/>
    </xf>
    <xf numFmtId="0" fontId="13" fillId="0" borderId="1" xfId="0" applyFont="1" applyBorder="1"/>
    <xf numFmtId="0" fontId="11" fillId="12" borderId="1" xfId="1" applyFont="1" applyFill="1" applyBorder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0" xfId="1" applyFont="1" applyFill="1"/>
    <xf numFmtId="0" fontId="18" fillId="2" borderId="0" xfId="1" applyFont="1" applyFill="1"/>
    <xf numFmtId="0" fontId="19" fillId="5" borderId="0" xfId="0" applyFont="1" applyFill="1"/>
    <xf numFmtId="0" fontId="20" fillId="2" borderId="0" xfId="0" applyFont="1" applyFill="1" applyAlignment="1">
      <alignment horizontal="center"/>
    </xf>
    <xf numFmtId="0" fontId="1" fillId="16" borderId="1" xfId="0" applyFont="1" applyFill="1" applyBorder="1"/>
    <xf numFmtId="49" fontId="0" fillId="0" borderId="0" xfId="0" applyNumberFormat="1"/>
    <xf numFmtId="0" fontId="0" fillId="0" borderId="0" xfId="0" quotePrefix="1"/>
    <xf numFmtId="176" fontId="0" fillId="0" borderId="0" xfId="0" applyNumberFormat="1"/>
    <xf numFmtId="0" fontId="0" fillId="0" borderId="10" xfId="0" applyBorder="1"/>
    <xf numFmtId="0" fontId="22" fillId="0" borderId="11" xfId="0" applyFont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center"/>
    </xf>
    <xf numFmtId="0" fontId="23" fillId="0" borderId="12" xfId="0" applyFont="1" applyBorder="1" applyAlignment="1">
      <alignment horizontal="right"/>
    </xf>
    <xf numFmtId="0" fontId="0" fillId="2" borderId="0" xfId="0" applyFill="1"/>
    <xf numFmtId="0" fontId="1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9" fillId="2" borderId="0" xfId="0" applyFont="1" applyFill="1"/>
    <xf numFmtId="0" fontId="0" fillId="0" borderId="1" xfId="0" applyBorder="1" applyAlignment="1">
      <alignment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14" fillId="15" borderId="0" xfId="1" applyFont="1" applyFill="1" applyAlignment="1">
      <alignment horizontal="center"/>
    </xf>
    <xf numFmtId="0" fontId="0" fillId="0" borderId="0" xfId="0" applyFill="1" applyBorder="1" applyAlignment="1"/>
    <xf numFmtId="0" fontId="23" fillId="0" borderId="12" xfId="0" applyFont="1" applyFill="1" applyBorder="1" applyAlignment="1">
      <alignment horizontal="right"/>
    </xf>
    <xf numFmtId="0" fontId="0" fillId="0" borderId="10" xfId="0" applyFill="1" applyBorder="1" applyAlignment="1"/>
    <xf numFmtId="0" fontId="22" fillId="0" borderId="1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32">
    <dxf>
      <font>
        <b val="0"/>
        <i val="0"/>
      </font>
    </dxf>
    <dxf>
      <font>
        <b val="0"/>
        <i val="0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F-4047-A418-7643E68DE4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F-4047-A418-7643E68DE4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F-4047-A418-7643E68DE4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7F-4047-A418-7643E68DE4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7F-4047-A418-7643E68DE4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7F-4047-A418-7643E68DE4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7F-4047-A418-7643E68DE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Sheet1!$U$42:$U$48</c:f>
              <c:numCache>
                <c:formatCode>General</c:formatCode>
                <c:ptCount val="7"/>
                <c:pt idx="0">
                  <c:v>100</c:v>
                </c:pt>
                <c:pt idx="1">
                  <c:v>50</c:v>
                </c:pt>
                <c:pt idx="2">
                  <c:v>200</c:v>
                </c:pt>
                <c:pt idx="3">
                  <c:v>20</c:v>
                </c:pt>
                <c:pt idx="4">
                  <c:v>40</c:v>
                </c:pt>
                <c:pt idx="5">
                  <c:v>100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4-45D6-8F38-DB8E05B17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Price Pie Chart</a:t>
            </a:r>
          </a:p>
        </c:rich>
      </c:tx>
      <c:layout>
        <c:manualLayout>
          <c:xMode val="edge"/>
          <c:yMode val="edge"/>
          <c:x val="0.3818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2-485B-986A-D2B64818C5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2-485B-986A-D2B64818C5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2-485B-986A-D2B64818C5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2-485B-986A-D2B64818C5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2-485B-986A-D2B64818C5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2-485B-986A-D2B64818C5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62-485B-986A-D2B64818C5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62-485B-986A-D2B64818C57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62-485B-986A-D2B64818C57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62-485B-986A-D2B64818C57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62-485B-986A-D2B64818C57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62-485B-986A-D2B64818C57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B62-485B-986A-D2B64818C57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62-485B-986A-D2B64818C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7-4EB7-986C-2FEE6F08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Arts &amp; Crafts</c:v>
              </c:pt>
              <c:pt idx="1">
                <c:v>Crafting</c:v>
              </c:pt>
            </c:strLit>
          </c:cat>
          <c:val>
            <c:numLit>
              <c:formatCode>General</c:formatCode>
              <c:ptCount val="2"/>
              <c:pt idx="0">
                <c:v>93.379999999999981</c:v>
              </c:pt>
              <c:pt idx="1">
                <c:v>85.449999999999989</c:v>
              </c:pt>
            </c:numLit>
          </c:val>
          <c:extLst>
            <c:ext xmlns:c16="http://schemas.microsoft.com/office/drawing/2014/chart" uri="{C3380CC4-5D6E-409C-BE32-E72D297353CC}">
              <c16:uniqueId val="{00000000-AC9E-43B8-B103-48F21B22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306303"/>
        <c:axId val="817306783"/>
      </c:barChart>
      <c:catAx>
        <c:axId val="8173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06783"/>
        <c:crosses val="autoZero"/>
        <c:auto val="1"/>
        <c:lblAlgn val="ctr"/>
        <c:lblOffset val="100"/>
        <c:noMultiLvlLbl val="0"/>
      </c:catAx>
      <c:valAx>
        <c:axId val="8173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0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Line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8-4E8F-BEFA-D199E9182E34}"/>
            </c:ext>
          </c:extLst>
        </c:ser>
        <c:ser>
          <c:idx val="1"/>
          <c:order val="1"/>
          <c:tx>
            <c:strRef>
              <c:f>Sheet1!$U$140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Sheet1!$U$141:$U$154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8-4E8F-BEFA-D199E918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825759"/>
        <c:axId val="1338828159"/>
      </c:lineChart>
      <c:catAx>
        <c:axId val="133882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8159"/>
        <c:crosses val="autoZero"/>
        <c:auto val="1"/>
        <c:lblAlgn val="ctr"/>
        <c:lblOffset val="100"/>
        <c:noMultiLvlLbl val="0"/>
      </c:catAx>
      <c:valAx>
        <c:axId val="13388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Cost_Price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Sheet1!$S$140</c:f>
              <c:strCache>
                <c:ptCount val="1"/>
                <c:pt idx="0">
                  <c:v>Cost_Price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xVal>
          <c:yVal>
            <c:numRef>
              <c:f>Sheet1!$S$141:$S$154</c:f>
              <c:numCache>
                <c:formatCode>General</c:formatCode>
                <c:ptCount val="14"/>
                <c:pt idx="0">
                  <c:v>11.539998800720999</c:v>
                </c:pt>
                <c:pt idx="1">
                  <c:v>6.1873028678125399</c:v>
                </c:pt>
                <c:pt idx="2">
                  <c:v>32.9315991707848</c:v>
                </c:pt>
                <c:pt idx="3">
                  <c:v>14.6347990936824</c:v>
                </c:pt>
                <c:pt idx="4">
                  <c:v>13.0251265620665</c:v>
                </c:pt>
                <c:pt idx="5">
                  <c:v>6.0214702896113597</c:v>
                </c:pt>
                <c:pt idx="6">
                  <c:v>24.3317485773747</c:v>
                </c:pt>
                <c:pt idx="7">
                  <c:v>7.3756176258308503</c:v>
                </c:pt>
                <c:pt idx="8">
                  <c:v>2.67080947261142</c:v>
                </c:pt>
                <c:pt idx="9">
                  <c:v>7.1067749314435504</c:v>
                </c:pt>
                <c:pt idx="10">
                  <c:v>5.4161116395069504</c:v>
                </c:pt>
                <c:pt idx="11">
                  <c:v>9.2361940355201302</c:v>
                </c:pt>
                <c:pt idx="12">
                  <c:v>14.3844222825145</c:v>
                </c:pt>
                <c:pt idx="13">
                  <c:v>6.1582511117471803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B-4C5B-A2B8-BCA03095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682495"/>
        <c:axId val="1339679135"/>
      </c:scatterChart>
      <c:valAx>
        <c:axId val="133968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9135"/>
        <c:crosses val="autoZero"/>
        <c:crossBetween val="midCat"/>
      </c:valAx>
      <c:valAx>
        <c:axId val="13396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8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F-4C16-9192-974D15AE8743}"/>
            </c:ext>
          </c:extLst>
        </c:ser>
        <c:ser>
          <c:idx val="1"/>
          <c:order val="1"/>
          <c:tx>
            <c:strRef>
              <c:f>Sheet1!$U$140</c:f>
              <c:strCache>
                <c:ptCount val="1"/>
                <c:pt idx="0">
                  <c:v>Gender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Sheet1!$U$141:$U$154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F-4C16-9192-974D15AE8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780895"/>
        <c:axId val="879781375"/>
      </c:barChart>
      <c:catAx>
        <c:axId val="87978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1375"/>
        <c:crosses val="autoZero"/>
        <c:auto val="1"/>
        <c:lblAlgn val="ctr"/>
        <c:lblOffset val="100"/>
        <c:noMultiLvlLbl val="0"/>
      </c:catAx>
      <c:valAx>
        <c:axId val="87978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jpe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32302</xdr:colOff>
      <xdr:row>71</xdr:row>
      <xdr:rowOff>55909</xdr:rowOff>
    </xdr:from>
    <xdr:to>
      <xdr:col>8</xdr:col>
      <xdr:colOff>38100</xdr:colOff>
      <xdr:row>83</xdr:row>
      <xdr:rowOff>94009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973449-9809-443C-D59A-A3D862DD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89</xdr:row>
      <xdr:rowOff>28575</xdr:rowOff>
    </xdr:from>
    <xdr:to>
      <xdr:col>2</xdr:col>
      <xdr:colOff>1257300</xdr:colOff>
      <xdr:row>90</xdr:row>
      <xdr:rowOff>1</xdr:rowOff>
    </xdr:to>
    <xdr:pic>
      <xdr:nvPicPr>
        <xdr:cNvPr id="2" name="Picture 1" descr="Netflix Logo Evolution: From Initial Designs to the Iconic ...">
          <a:extLst>
            <a:ext uri="{FF2B5EF4-FFF2-40B4-BE49-F238E27FC236}">
              <a16:creationId xmlns:a16="http://schemas.microsoft.com/office/drawing/2014/main" id="{A053CA6C-D887-969F-FF1A-42B004DA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0154900"/>
          <a:ext cx="1190625" cy="45720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6" name="AutoShape 2" descr="Evolving the Google Logo Identity - Google Design">
          <a:extLst>
            <a:ext uri="{FF2B5EF4-FFF2-40B4-BE49-F238E27FC236}">
              <a16:creationId xmlns:a16="http://schemas.microsoft.com/office/drawing/2014/main" id="{7CE98A97-A75A-3C80-F895-6A2EF11092B6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7" name="AutoShape 3" descr="Evolving the Google Logo Identity - Google Design">
          <a:extLst>
            <a:ext uri="{FF2B5EF4-FFF2-40B4-BE49-F238E27FC236}">
              <a16:creationId xmlns:a16="http://schemas.microsoft.com/office/drawing/2014/main" id="{F7E14C08-495B-6BAE-8CE9-BA43EBC565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8" name="AutoShape 4" descr="Evolving the Google Logo Identity - Google Design">
          <a:extLst>
            <a:ext uri="{FF2B5EF4-FFF2-40B4-BE49-F238E27FC236}">
              <a16:creationId xmlns:a16="http://schemas.microsoft.com/office/drawing/2014/main" id="{E659EB32-51E8-DF3D-EEB1-4F877AD33D5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9" name="AutoShape 5" descr="Evolving the Google Logo Identity - Google Design">
          <a:extLst>
            <a:ext uri="{FF2B5EF4-FFF2-40B4-BE49-F238E27FC236}">
              <a16:creationId xmlns:a16="http://schemas.microsoft.com/office/drawing/2014/main" id="{1517D6C0-1335-18E0-BF83-998C35AAC93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67</xdr:row>
      <xdr:rowOff>0</xdr:rowOff>
    </xdr:from>
    <xdr:to>
      <xdr:col>21</xdr:col>
      <xdr:colOff>304800</xdr:colOff>
      <xdr:row>68</xdr:row>
      <xdr:rowOff>114300</xdr:rowOff>
    </xdr:to>
    <xdr:sp macro="" textlink="">
      <xdr:nvSpPr>
        <xdr:cNvPr id="1030" name="AutoShape 6" descr="Evolving the Google Logo Identity - Google Design">
          <a:extLst>
            <a:ext uri="{FF2B5EF4-FFF2-40B4-BE49-F238E27FC236}">
              <a16:creationId xmlns:a16="http://schemas.microsoft.com/office/drawing/2014/main" id="{316DD4AE-060F-6ADF-302D-45B8A081E790}"/>
            </a:ext>
          </a:extLst>
        </xdr:cNvPr>
        <xdr:cNvSpPr>
          <a:spLocks noChangeAspect="1" noChangeArrowheads="1"/>
        </xdr:cNvSpPr>
      </xdr:nvSpPr>
      <xdr:spPr bwMode="auto">
        <a:xfrm>
          <a:off x="13877925" y="27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1" name="AutoShape 7" descr="Evolving the Google Logo Identity - Google Design">
          <a:extLst>
            <a:ext uri="{FF2B5EF4-FFF2-40B4-BE49-F238E27FC236}">
              <a16:creationId xmlns:a16="http://schemas.microsoft.com/office/drawing/2014/main" id="{2E295E8E-BF4D-9158-42E5-453AA641DCD5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2" name="AutoShape 8" descr="Evolving the Google Logo Identity - Google Design">
          <a:extLst>
            <a:ext uri="{FF2B5EF4-FFF2-40B4-BE49-F238E27FC236}">
              <a16:creationId xmlns:a16="http://schemas.microsoft.com/office/drawing/2014/main" id="{BC7C9306-6FB2-6552-9D76-3C8651E0149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3" name="AutoShape 9" descr="Evolving the Google Logo Identity - Google Design">
          <a:extLst>
            <a:ext uri="{FF2B5EF4-FFF2-40B4-BE49-F238E27FC236}">
              <a16:creationId xmlns:a16="http://schemas.microsoft.com/office/drawing/2014/main" id="{84511403-9F03-E93C-E66E-7CADD98A8C8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4" name="AutoShape 10" descr="Evolving the Google Logo Identity - Google Design">
          <a:extLst>
            <a:ext uri="{FF2B5EF4-FFF2-40B4-BE49-F238E27FC236}">
              <a16:creationId xmlns:a16="http://schemas.microsoft.com/office/drawing/2014/main" id="{4AB7E93E-D7D6-4511-F628-F431FC5BE801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5" name="AutoShape 11" descr="Evolving the Google Logo Identity - Google Design">
          <a:extLst>
            <a:ext uri="{FF2B5EF4-FFF2-40B4-BE49-F238E27FC236}">
              <a16:creationId xmlns:a16="http://schemas.microsoft.com/office/drawing/2014/main" id="{41EDFD6B-FAC0-0259-01A9-45B615C13CC1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6" name="AutoShape 12" descr="Evolving the Google Logo Identity - Google Design">
          <a:extLst>
            <a:ext uri="{FF2B5EF4-FFF2-40B4-BE49-F238E27FC236}">
              <a16:creationId xmlns:a16="http://schemas.microsoft.com/office/drawing/2014/main" id="{99323F33-7B20-38A2-ECCD-AEDC7693F0C8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7" name="AutoShape 13" descr="Evolving the Google Logo Identity - Google Design">
          <a:extLst>
            <a:ext uri="{FF2B5EF4-FFF2-40B4-BE49-F238E27FC236}">
              <a16:creationId xmlns:a16="http://schemas.microsoft.com/office/drawing/2014/main" id="{7EF7137A-0B1D-7A0F-4F03-CCDF4AF4E3EE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8" name="AutoShape 14" descr="Evolving the Google Logo Identity - Google Design">
          <a:extLst>
            <a:ext uri="{FF2B5EF4-FFF2-40B4-BE49-F238E27FC236}">
              <a16:creationId xmlns:a16="http://schemas.microsoft.com/office/drawing/2014/main" id="{8D8E8062-C654-443E-5654-E9092DE5B0C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9" name="AutoShape 15" descr="Evolving the Google Logo Identity - Google Design">
          <a:extLst>
            <a:ext uri="{FF2B5EF4-FFF2-40B4-BE49-F238E27FC236}">
              <a16:creationId xmlns:a16="http://schemas.microsoft.com/office/drawing/2014/main" id="{E6F17181-5C6E-3219-7CB2-1A7B60E8F2A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0" name="AutoShape 16" descr="Evolving the Google Logo Identity - Google Design">
          <a:extLst>
            <a:ext uri="{FF2B5EF4-FFF2-40B4-BE49-F238E27FC236}">
              <a16:creationId xmlns:a16="http://schemas.microsoft.com/office/drawing/2014/main" id="{A5493783-C387-D93F-7E8F-E9F342BD47F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1" name="AutoShape 17" descr="Evolving the Google Logo Identity - Google Design">
          <a:extLst>
            <a:ext uri="{FF2B5EF4-FFF2-40B4-BE49-F238E27FC236}">
              <a16:creationId xmlns:a16="http://schemas.microsoft.com/office/drawing/2014/main" id="{8DA80080-9513-1247-7565-9E737D87430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2" name="AutoShape 18" descr="Evolving the Google Logo Identity - Google Design">
          <a:extLst>
            <a:ext uri="{FF2B5EF4-FFF2-40B4-BE49-F238E27FC236}">
              <a16:creationId xmlns:a16="http://schemas.microsoft.com/office/drawing/2014/main" id="{106B4B96-08EB-ED66-DD3C-5ED485F4B2A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3" name="AutoShape 19" descr="Evolving the Google Logo Identity - Google Design">
          <a:extLst>
            <a:ext uri="{FF2B5EF4-FFF2-40B4-BE49-F238E27FC236}">
              <a16:creationId xmlns:a16="http://schemas.microsoft.com/office/drawing/2014/main" id="{0D254D9E-A688-2764-0E05-5A15A74F4CA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4" name="AutoShape 20" descr="Evolving the Google Logo Identity - Google Design">
          <a:extLst>
            <a:ext uri="{FF2B5EF4-FFF2-40B4-BE49-F238E27FC236}">
              <a16:creationId xmlns:a16="http://schemas.microsoft.com/office/drawing/2014/main" id="{06C4ED8C-4CB3-8DE8-84AA-6A138DEBED0B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5" name="AutoShape 21" descr="Evolving the Google Logo Identity - Google Design">
          <a:extLst>
            <a:ext uri="{FF2B5EF4-FFF2-40B4-BE49-F238E27FC236}">
              <a16:creationId xmlns:a16="http://schemas.microsoft.com/office/drawing/2014/main" id="{3D3CA534-5F1E-9428-F42C-36A2EA2EAA2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6" name="AutoShape 22" descr="Evolving the Google Logo Identity - Google Design">
          <a:extLst>
            <a:ext uri="{FF2B5EF4-FFF2-40B4-BE49-F238E27FC236}">
              <a16:creationId xmlns:a16="http://schemas.microsoft.com/office/drawing/2014/main" id="{3AC8B401-8D2C-A211-7D04-D0E5450FD5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1" name="AutoShape 27" descr="Evolving the Google Logo Identity - Google Design">
          <a:extLst>
            <a:ext uri="{FF2B5EF4-FFF2-40B4-BE49-F238E27FC236}">
              <a16:creationId xmlns:a16="http://schemas.microsoft.com/office/drawing/2014/main" id="{A383B234-B115-660B-E5ED-356DCB71229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2" name="AutoShape 28" descr="Evolving the Google Logo Identity - Google Design">
          <a:extLst>
            <a:ext uri="{FF2B5EF4-FFF2-40B4-BE49-F238E27FC236}">
              <a16:creationId xmlns:a16="http://schemas.microsoft.com/office/drawing/2014/main" id="{28764B6A-267D-548E-AC04-89A60763DED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3" name="AutoShape 29" descr="Evolving the Google Logo Identity - Google Design">
          <a:extLst>
            <a:ext uri="{FF2B5EF4-FFF2-40B4-BE49-F238E27FC236}">
              <a16:creationId xmlns:a16="http://schemas.microsoft.com/office/drawing/2014/main" id="{36E912AE-555D-2BEA-D66C-5FB6B7C849D6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4" name="AutoShape 30" descr="Evolving the Google Logo Identity - Google Design">
          <a:extLst>
            <a:ext uri="{FF2B5EF4-FFF2-40B4-BE49-F238E27FC236}">
              <a16:creationId xmlns:a16="http://schemas.microsoft.com/office/drawing/2014/main" id="{763E9346-F927-1F5C-F9F3-9D8E65A3138B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5" name="AutoShape 31" descr="Evolving the Google Logo Identity - Google Design">
          <a:extLst>
            <a:ext uri="{FF2B5EF4-FFF2-40B4-BE49-F238E27FC236}">
              <a16:creationId xmlns:a16="http://schemas.microsoft.com/office/drawing/2014/main" id="{23D7A9CC-5562-5A85-ACC0-48D0DF108EBC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6" name="AutoShape 32" descr="Evolving the Google Logo Identity - Google Design">
          <a:extLst>
            <a:ext uri="{FF2B5EF4-FFF2-40B4-BE49-F238E27FC236}">
              <a16:creationId xmlns:a16="http://schemas.microsoft.com/office/drawing/2014/main" id="{CF4963C3-9E01-4108-8B69-6DFF73E1E87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7" name="AutoShape 33" descr="Evolving the Google Logo Identity - Google Design">
          <a:extLst>
            <a:ext uri="{FF2B5EF4-FFF2-40B4-BE49-F238E27FC236}">
              <a16:creationId xmlns:a16="http://schemas.microsoft.com/office/drawing/2014/main" id="{1EB592C1-ABEF-04FF-D396-C5121D13D56D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8" name="AutoShape 34" descr="Evolving the Google Logo Identity - Google Design">
          <a:extLst>
            <a:ext uri="{FF2B5EF4-FFF2-40B4-BE49-F238E27FC236}">
              <a16:creationId xmlns:a16="http://schemas.microsoft.com/office/drawing/2014/main" id="{15E0EB46-9290-1246-2913-8579F056C25C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9" name="AutoShape 35" descr="Evolving the Google Logo Identity - Google Design">
          <a:extLst>
            <a:ext uri="{FF2B5EF4-FFF2-40B4-BE49-F238E27FC236}">
              <a16:creationId xmlns:a16="http://schemas.microsoft.com/office/drawing/2014/main" id="{4364146E-2032-9437-0EC7-6706ADBD2EB2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0" name="AutoShape 36" descr="Evolving the Google Logo Identity - Google Design">
          <a:extLst>
            <a:ext uri="{FF2B5EF4-FFF2-40B4-BE49-F238E27FC236}">
              <a16:creationId xmlns:a16="http://schemas.microsoft.com/office/drawing/2014/main" id="{283E9AE9-0BB1-9457-230B-A789B42C7D89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1" name="AutoShape 37" descr="Evolving the Google Logo Identity - Google Design">
          <a:extLst>
            <a:ext uri="{FF2B5EF4-FFF2-40B4-BE49-F238E27FC236}">
              <a16:creationId xmlns:a16="http://schemas.microsoft.com/office/drawing/2014/main" id="{6E639913-04F5-D780-7E80-E8A9383009F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2" name="AutoShape 38" descr="Evolving the Google Logo Identity - Google Design">
          <a:extLst>
            <a:ext uri="{FF2B5EF4-FFF2-40B4-BE49-F238E27FC236}">
              <a16:creationId xmlns:a16="http://schemas.microsoft.com/office/drawing/2014/main" id="{1B2BD0F7-2EDF-D3A1-194E-D73F93B4CE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3" name="AutoShape 39" descr="Evolving the Google Logo Identity - Google Design">
          <a:extLst>
            <a:ext uri="{FF2B5EF4-FFF2-40B4-BE49-F238E27FC236}">
              <a16:creationId xmlns:a16="http://schemas.microsoft.com/office/drawing/2014/main" id="{FF4332C7-DEA6-4BA0-C995-68AA404DB7F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90</xdr:row>
      <xdr:rowOff>28574</xdr:rowOff>
    </xdr:from>
    <xdr:to>
      <xdr:col>2</xdr:col>
      <xdr:colOff>1771648</xdr:colOff>
      <xdr:row>90</xdr:row>
      <xdr:rowOff>638174</xdr:rowOff>
    </xdr:to>
    <xdr:pic>
      <xdr:nvPicPr>
        <xdr:cNvPr id="7" name="Picture 6" descr="Google's logo in its signature blue, red, yellow, and green.">
          <a:extLst>
            <a:ext uri="{FF2B5EF4-FFF2-40B4-BE49-F238E27FC236}">
              <a16:creationId xmlns:a16="http://schemas.microsoft.com/office/drawing/2014/main" id="{C6060673-2BB1-B540-E5A9-D839CE58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25641299"/>
          <a:ext cx="1743073" cy="609600"/>
        </a:xfrm>
        <a:prstGeom prst="rect">
          <a:avLst/>
        </a:prstGeom>
        <a:noFill/>
        <a:effectLst>
          <a:reflection blurRad="6350" stA="0" endPos="55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133350</xdr:colOff>
      <xdr:row>91</xdr:row>
      <xdr:rowOff>66676</xdr:rowOff>
    </xdr:from>
    <xdr:to>
      <xdr:col>2</xdr:col>
      <xdr:colOff>1276350</xdr:colOff>
      <xdr:row>91</xdr:row>
      <xdr:rowOff>504825</xdr:rowOff>
    </xdr:to>
    <xdr:pic>
      <xdr:nvPicPr>
        <xdr:cNvPr id="8" name="Picture 7" descr="Amazon Logo Its History and Lessons That Brands Can Learn ...">
          <a:extLst>
            <a:ext uri="{FF2B5EF4-FFF2-40B4-BE49-F238E27FC236}">
              <a16:creationId xmlns:a16="http://schemas.microsoft.com/office/drawing/2014/main" id="{F0F5951D-B28D-0E2C-B718-3B86E599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21135976"/>
          <a:ext cx="1143000" cy="438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390525</xdr:colOff>
      <xdr:row>155</xdr:row>
      <xdr:rowOff>0</xdr:rowOff>
    </xdr:from>
    <xdr:to>
      <xdr:col>19</xdr:col>
      <xdr:colOff>114300</xdr:colOff>
      <xdr:row>168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B7F53-4771-6BF5-0636-2885C9444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276225</xdr:colOff>
      <xdr:row>155</xdr:row>
      <xdr:rowOff>0</xdr:rowOff>
    </xdr:from>
    <xdr:to>
      <xdr:col>22</xdr:col>
      <xdr:colOff>1352550</xdr:colOff>
      <xdr:row>168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88F18E-389A-431B-B6D1-5597A4EF9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409575</xdr:colOff>
      <xdr:row>139</xdr:row>
      <xdr:rowOff>80962</xdr:rowOff>
    </xdr:from>
    <xdr:to>
      <xdr:col>24</xdr:col>
      <xdr:colOff>1581150</xdr:colOff>
      <xdr:row>153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192647-FB33-F4E1-AE74-212D307CF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1428750</xdr:colOff>
      <xdr:row>155</xdr:row>
      <xdr:rowOff>0</xdr:rowOff>
    </xdr:from>
    <xdr:to>
      <xdr:col>26</xdr:col>
      <xdr:colOff>142875</xdr:colOff>
      <xdr:row>168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42BF71-A3F0-3E7C-7A80-4077256A8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447675</xdr:colOff>
      <xdr:row>169</xdr:row>
      <xdr:rowOff>138112</xdr:rowOff>
    </xdr:from>
    <xdr:to>
      <xdr:col>19</xdr:col>
      <xdr:colOff>171450</xdr:colOff>
      <xdr:row>184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C91D74-5768-37E2-AF82-21E0C9A9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08880-4AED-4EB1-AA94-A927C5EDF094}" name="Table1" displayName="Table1" ref="K73:R80" totalsRowShown="0" headerRowDxfId="31" headerRowBorderDxfId="30" tableBorderDxfId="29" totalsRowBorderDxfId="28">
  <tableColumns count="8">
    <tableColumn id="1" xr3:uid="{87EA2F40-2AF1-4417-BD01-FD82C296DD8D}" name="maths" dataDxfId="27"/>
    <tableColumn id="2" xr3:uid="{E614DC43-3FF6-44B9-8029-EAB98BBFABC5}" name="science" dataDxfId="26"/>
    <tableColumn id="3" xr3:uid="{6DE36E39-BE9A-4251-8C98-1BB9C7C0322B}" name="AND" dataDxfId="25">
      <calculatedColumnFormula>AND(K74&gt;30,L74&gt;30)</calculatedColumnFormula>
    </tableColumn>
    <tableColumn id="4" xr3:uid="{8EE8DD8E-68BB-4EA8-A0B8-E55C82049466}" name="OR" dataDxfId="24">
      <calculatedColumnFormula>OR(K74&gt;30,L74&gt;30)</calculatedColumnFormula>
    </tableColumn>
    <tableColumn id="5" xr3:uid="{46F040FC-997A-4EC5-BE87-25942D66194A}" name="RESULT(AND)" dataDxfId="23">
      <calculatedColumnFormula>IF(M74,"pass","fail")</calculatedColumnFormula>
    </tableColumn>
    <tableColumn id="6" xr3:uid="{017DE76A-E1D3-432B-B36A-D8FC58E43C61}" name="RESULT(OR)" dataDxfId="22">
      <calculatedColumnFormula>IF(N74,"pass","fail")</calculatedColumnFormula>
    </tableColumn>
    <tableColumn id="7" xr3:uid="{E5246385-85A9-4C07-AF16-08F7CDCBE071}" name="XOR" dataDxfId="21">
      <calculatedColumnFormula>_xlfn.XOR(Table1[[#This Row],[maths]]&gt;30,Table1[[#This Row],[science]]&gt;30)</calculatedColumnFormula>
    </tableColumn>
    <tableColumn id="8" xr3:uid="{399588A2-DF28-4D21-BD15-488244EBCDB6}" name="NOT(AND)" dataDxfId="20">
      <calculatedColumnFormula>NOT(Table1[[#This Row],[AND]])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CBD8D1-BEA2-49F5-9811-E9E29E4373FE}" name="Table2" displayName="Table2" ref="B89:D92" totalsRowShown="0" headerRowDxfId="19" dataDxfId="17" headerRowBorderDxfId="18" tableBorderDxfId="16" totalsRowBorderDxfId="15" headerRowCellStyle="Normal" dataCellStyle="Normal">
  <autoFilter ref="B89:D92" xr:uid="{1DCBD8D1-BEA2-49F5-9811-E9E29E4373FE}"/>
  <tableColumns count="3">
    <tableColumn id="1" xr3:uid="{6251B4A6-0025-4957-BFC4-44C33157B50B}" name="Company" dataDxfId="14" dataCellStyle="Normal"/>
    <tableColumn id="2" xr3:uid="{A044502F-6222-4015-B14A-4F88B86EFFFC}" name="Logo" dataDxfId="13" dataCellStyle="Normal"/>
    <tableColumn id="3" xr3:uid="{223C3C42-C2CC-4A4C-A0C3-2D6CCCFAD61C}" name="Sales" dataDxfId="1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B3FC-CEAF-4AB8-8393-7937322D8095}">
  <dimension ref="A1:Z432"/>
  <sheetViews>
    <sheetView tabSelected="1" topLeftCell="P97" zoomScale="115" zoomScaleNormal="115" workbookViewId="0">
      <selection activeCell="G57" sqref="G57"/>
    </sheetView>
  </sheetViews>
  <sheetFormatPr defaultRowHeight="15" x14ac:dyDescent="0.25"/>
  <cols>
    <col min="1" max="1" width="24" customWidth="1"/>
    <col min="2" max="2" width="20.85546875" customWidth="1"/>
    <col min="3" max="3" width="19.7109375" customWidth="1"/>
    <col min="4" max="4" width="12.7109375" customWidth="1"/>
    <col min="5" max="5" width="13" customWidth="1"/>
    <col min="7" max="7" width="15.85546875" customWidth="1"/>
    <col min="8" max="8" width="8.5703125" customWidth="1"/>
    <col min="9" max="9" width="13.5703125" customWidth="1"/>
    <col min="11" max="11" width="14.42578125" customWidth="1"/>
    <col min="12" max="12" width="20" customWidth="1"/>
    <col min="13" max="13" width="13.42578125" customWidth="1"/>
    <col min="14" max="14" width="10.5703125" customWidth="1"/>
    <col min="15" max="15" width="21.85546875" customWidth="1"/>
    <col min="17" max="17" width="17" customWidth="1"/>
    <col min="18" max="18" width="21.28515625" customWidth="1"/>
    <col min="19" max="19" width="24.85546875" customWidth="1"/>
    <col min="20" max="20" width="17.42578125" customWidth="1"/>
    <col min="21" max="21" width="25.42578125" customWidth="1"/>
    <col min="22" max="22" width="12.28515625" customWidth="1"/>
    <col min="23" max="23" width="23.7109375" customWidth="1"/>
    <col min="24" max="24" width="15" customWidth="1"/>
    <col min="25" max="25" width="26.5703125" customWidth="1"/>
    <col min="26" max="26" width="20.5703125" customWidth="1"/>
    <col min="27" max="27" width="19.140625" customWidth="1"/>
    <col min="28" max="28" width="11.140625" customWidth="1"/>
  </cols>
  <sheetData>
    <row r="1" spans="1:2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4" t="s">
        <v>42</v>
      </c>
      <c r="T1" s="9"/>
    </row>
    <row r="2" spans="1:25" ht="18.75" x14ac:dyDescent="0.3">
      <c r="A2" t="s">
        <v>14</v>
      </c>
      <c r="B2" t="s">
        <v>15</v>
      </c>
      <c r="C2" t="s">
        <v>16</v>
      </c>
      <c r="D2">
        <v>13.27</v>
      </c>
      <c r="E2">
        <v>11.539998800720999</v>
      </c>
      <c r="F2" s="50">
        <f>ROUND(E2,1)</f>
        <v>11.5</v>
      </c>
      <c r="G2" t="s">
        <v>17</v>
      </c>
      <c r="H2">
        <f>ROUND(D2,1)</f>
        <v>13.3</v>
      </c>
      <c r="I2">
        <f>SQRT(H2)</f>
        <v>3.646916505762094</v>
      </c>
      <c r="J2">
        <f>MIN(D2:D51)</f>
        <v>2.99</v>
      </c>
      <c r="K2">
        <f>MAX(D2:D51)</f>
        <v>34.99</v>
      </c>
      <c r="L2">
        <f>SUM(D2:D51)</f>
        <v>609.72</v>
      </c>
      <c r="M2" t="str">
        <f>LEFT(C2,3)</f>
        <v>Cra</v>
      </c>
      <c r="N2" t="str">
        <f>RIGHT(C2,2)</f>
        <v>ng</v>
      </c>
      <c r="O2">
        <f>LEN(C2)</f>
        <v>8</v>
      </c>
      <c r="S2" s="3" t="s">
        <v>43</v>
      </c>
      <c r="U2" s="3" t="s">
        <v>49</v>
      </c>
      <c r="W2" s="3" t="s">
        <v>46</v>
      </c>
      <c r="Y2" s="3" t="s">
        <v>50</v>
      </c>
    </row>
    <row r="3" spans="1:25" ht="18.75" x14ac:dyDescent="0.3">
      <c r="A3" t="s">
        <v>14</v>
      </c>
      <c r="B3" t="s">
        <v>15</v>
      </c>
      <c r="C3" t="s">
        <v>16</v>
      </c>
      <c r="D3">
        <v>6.79</v>
      </c>
      <c r="E3">
        <v>6.1873028678125399</v>
      </c>
      <c r="F3" s="50">
        <f t="shared" ref="F3:F51" si="0">ROUND(E3,1)</f>
        <v>6.2</v>
      </c>
      <c r="G3" t="s">
        <v>17</v>
      </c>
      <c r="H3">
        <f t="shared" ref="H3:H51" si="1">ROUND(D3,1)</f>
        <v>6.8</v>
      </c>
      <c r="I3">
        <f t="shared" ref="I3:I51" si="2">SQRT(H3)</f>
        <v>2.6076809620810595</v>
      </c>
      <c r="M3" t="str">
        <f t="shared" ref="M3:M52" si="3">LEFT(C3,3)</f>
        <v>Cra</v>
      </c>
      <c r="N3" t="str">
        <f t="shared" ref="N3:N52" si="4">RIGHT(C3,2)</f>
        <v>ng</v>
      </c>
      <c r="O3">
        <f t="shared" ref="O3:O31" si="5">LEN(C3)</f>
        <v>8</v>
      </c>
      <c r="Q3" s="3" t="s">
        <v>41</v>
      </c>
      <c r="S3" s="1" t="s">
        <v>44</v>
      </c>
      <c r="T3" s="1" t="s">
        <v>45</v>
      </c>
      <c r="U3" t="e" cm="1">
        <f t="array" ref="U3:U15">SEARCH("Texas",S4:S16)</f>
        <v>#VALUE!</v>
      </c>
      <c r="W3" t="str" cm="1">
        <f t="array" ref="W3:W15">REPLACE(S4:S16,1,4,"ABCD")</f>
        <v>ABCDalo-New York</v>
      </c>
      <c r="Y3" t="str" cm="1">
        <f t="array" ref="Y3:Y15">CONCATENATE(_xlfn.ANCHORARRAY(U19),S4:S16)</f>
        <v>BuffaloBuffalo-New York</v>
      </c>
    </row>
    <row r="4" spans="1:25" x14ac:dyDescent="0.25">
      <c r="A4" t="s">
        <v>14</v>
      </c>
      <c r="B4" t="s">
        <v>15</v>
      </c>
      <c r="C4" t="s">
        <v>16</v>
      </c>
      <c r="D4">
        <v>34.99</v>
      </c>
      <c r="E4">
        <v>32.9315991707848</v>
      </c>
      <c r="F4" s="50">
        <f t="shared" si="0"/>
        <v>32.9</v>
      </c>
      <c r="G4" t="s">
        <v>17</v>
      </c>
      <c r="H4">
        <f t="shared" si="1"/>
        <v>35</v>
      </c>
      <c r="I4">
        <f t="shared" si="2"/>
        <v>5.9160797830996161</v>
      </c>
      <c r="J4" s="1" t="s">
        <v>18</v>
      </c>
      <c r="K4" s="1" t="s">
        <v>19</v>
      </c>
      <c r="L4" s="1" t="s">
        <v>20</v>
      </c>
      <c r="M4" t="str">
        <f t="shared" si="3"/>
        <v>Cra</v>
      </c>
      <c r="N4" t="str">
        <f t="shared" si="4"/>
        <v>ng</v>
      </c>
      <c r="O4">
        <f t="shared" si="5"/>
        <v>8</v>
      </c>
      <c r="S4" t="s">
        <v>24</v>
      </c>
      <c r="T4" cm="1">
        <f t="array" ref="T4:T16">FIND("New",S4:S16)</f>
        <v>9</v>
      </c>
      <c r="U4" t="e">
        <v>#VALUE!</v>
      </c>
      <c r="W4" t="str">
        <v>ABCDFrancisco-Carlifornia</v>
      </c>
      <c r="Y4" t="str">
        <v>San FraSan Francisco-Carlifornia</v>
      </c>
    </row>
    <row r="5" spans="1:25" x14ac:dyDescent="0.25">
      <c r="A5" t="s">
        <v>14</v>
      </c>
      <c r="B5" t="s">
        <v>15</v>
      </c>
      <c r="C5" t="s">
        <v>16</v>
      </c>
      <c r="D5">
        <v>16.16</v>
      </c>
      <c r="E5">
        <v>14.6347990936824</v>
      </c>
      <c r="F5" s="50">
        <f t="shared" si="0"/>
        <v>14.6</v>
      </c>
      <c r="G5" t="s">
        <v>21</v>
      </c>
      <c r="H5">
        <f t="shared" si="1"/>
        <v>16.2</v>
      </c>
      <c r="I5">
        <f t="shared" si="2"/>
        <v>4.0249223594996213</v>
      </c>
      <c r="J5">
        <f>MEDIAN(D2:D51)</f>
        <v>10.695</v>
      </c>
      <c r="K5">
        <f>RANK(D8,D2:D51)</f>
        <v>2</v>
      </c>
      <c r="L5">
        <f>AVERAGE(D2:D51)</f>
        <v>12.1944</v>
      </c>
      <c r="M5" t="str">
        <f t="shared" si="3"/>
        <v>Cra</v>
      </c>
      <c r="N5" t="str">
        <f t="shared" si="4"/>
        <v>ng</v>
      </c>
      <c r="O5">
        <f t="shared" si="5"/>
        <v>8</v>
      </c>
      <c r="Q5" s="1" t="s">
        <v>33</v>
      </c>
      <c r="R5" s="1" t="s">
        <v>37</v>
      </c>
      <c r="S5" t="s">
        <v>22</v>
      </c>
      <c r="T5" t="e">
        <v>#VALUE!</v>
      </c>
      <c r="U5" t="e">
        <v>#VALUE!</v>
      </c>
      <c r="W5" t="str">
        <v>ABCDFrancisco-Carlifornia</v>
      </c>
      <c r="Y5" t="str">
        <v>San FraSan Francisco-Carlifornia</v>
      </c>
    </row>
    <row r="6" spans="1:25" x14ac:dyDescent="0.25">
      <c r="A6" t="s">
        <v>22</v>
      </c>
      <c r="B6" t="s">
        <v>15</v>
      </c>
      <c r="C6" t="s">
        <v>16</v>
      </c>
      <c r="D6">
        <v>15.18</v>
      </c>
      <c r="E6">
        <v>13.0251265620665</v>
      </c>
      <c r="F6" s="50">
        <f t="shared" si="0"/>
        <v>13</v>
      </c>
      <c r="G6" t="s">
        <v>17</v>
      </c>
      <c r="H6">
        <f t="shared" si="1"/>
        <v>15.2</v>
      </c>
      <c r="I6">
        <f t="shared" si="2"/>
        <v>3.8987177379235853</v>
      </c>
      <c r="M6" t="str">
        <f t="shared" si="3"/>
        <v>Cra</v>
      </c>
      <c r="N6" t="str">
        <f t="shared" si="4"/>
        <v>ng</v>
      </c>
      <c r="O6">
        <f t="shared" si="5"/>
        <v>8</v>
      </c>
      <c r="Q6" s="2">
        <f>DATE(2026,6,2)</f>
        <v>46175</v>
      </c>
      <c r="R6">
        <f ca="1">WEEKDAY(TODAY()+1,2)</f>
        <v>7</v>
      </c>
      <c r="S6" t="s">
        <v>22</v>
      </c>
      <c r="T6" t="e">
        <v>#VALUE!</v>
      </c>
      <c r="U6" t="e">
        <v>#VALUE!</v>
      </c>
      <c r="W6" t="str">
        <v>ABCDFrancisco-Carlifornia</v>
      </c>
      <c r="Y6" t="str">
        <v>San FraSan Francisco-Carlifornia</v>
      </c>
    </row>
    <row r="7" spans="1:25" x14ac:dyDescent="0.25">
      <c r="A7" t="s">
        <v>23</v>
      </c>
      <c r="B7" t="s">
        <v>15</v>
      </c>
      <c r="C7" t="s">
        <v>16</v>
      </c>
      <c r="D7">
        <v>6.99</v>
      </c>
      <c r="E7">
        <v>6.0214702896113597</v>
      </c>
      <c r="F7" s="50">
        <f t="shared" si="0"/>
        <v>6</v>
      </c>
      <c r="G7" t="s">
        <v>21</v>
      </c>
      <c r="H7">
        <f t="shared" si="1"/>
        <v>7</v>
      </c>
      <c r="I7">
        <f t="shared" si="2"/>
        <v>2.6457513110645907</v>
      </c>
      <c r="J7" s="1"/>
      <c r="M7" t="str">
        <f t="shared" si="3"/>
        <v>Cra</v>
      </c>
      <c r="N7" t="str">
        <f t="shared" si="4"/>
        <v>ng</v>
      </c>
      <c r="O7">
        <f t="shared" si="5"/>
        <v>8</v>
      </c>
      <c r="S7" t="s">
        <v>22</v>
      </c>
      <c r="T7" t="e">
        <v>#VALUE!</v>
      </c>
      <c r="U7">
        <v>8</v>
      </c>
      <c r="W7" t="str">
        <v>ABCDin-Texas</v>
      </c>
      <c r="Y7" t="str">
        <v>Austin-Austin-Texas</v>
      </c>
    </row>
    <row r="8" spans="1:25" x14ac:dyDescent="0.25">
      <c r="A8" t="s">
        <v>24</v>
      </c>
      <c r="B8" t="s">
        <v>15</v>
      </c>
      <c r="C8" t="s">
        <v>16</v>
      </c>
      <c r="D8">
        <v>25.99</v>
      </c>
      <c r="E8">
        <v>24.3317485773747</v>
      </c>
      <c r="F8" s="50">
        <f t="shared" si="0"/>
        <v>24.3</v>
      </c>
      <c r="G8" t="s">
        <v>17</v>
      </c>
      <c r="H8">
        <f t="shared" si="1"/>
        <v>26</v>
      </c>
      <c r="I8">
        <f t="shared" si="2"/>
        <v>5.0990195135927845</v>
      </c>
      <c r="M8" t="str">
        <f t="shared" si="3"/>
        <v>Cra</v>
      </c>
      <c r="N8" t="str">
        <f t="shared" si="4"/>
        <v>ng</v>
      </c>
      <c r="O8">
        <f t="shared" si="5"/>
        <v>8</v>
      </c>
      <c r="Q8" s="1" t="s">
        <v>34</v>
      </c>
      <c r="R8" s="1" t="s">
        <v>38</v>
      </c>
      <c r="S8" t="s">
        <v>14</v>
      </c>
      <c r="T8" t="e">
        <v>#VALUE!</v>
      </c>
      <c r="U8">
        <v>9</v>
      </c>
      <c r="W8" t="str">
        <v>ABCDton-Texas</v>
      </c>
      <c r="Y8" t="str">
        <v>HoustonHouston-Texas</v>
      </c>
    </row>
    <row r="9" spans="1:25" x14ac:dyDescent="0.25">
      <c r="A9" t="s">
        <v>22</v>
      </c>
      <c r="B9" t="s">
        <v>15</v>
      </c>
      <c r="C9" t="s">
        <v>16</v>
      </c>
      <c r="D9">
        <v>7.99</v>
      </c>
      <c r="E9">
        <v>7.3756176258308503</v>
      </c>
      <c r="F9" s="50">
        <f t="shared" si="0"/>
        <v>7.4</v>
      </c>
      <c r="G9" t="s">
        <v>17</v>
      </c>
      <c r="H9">
        <f t="shared" si="1"/>
        <v>8</v>
      </c>
      <c r="I9">
        <f t="shared" si="2"/>
        <v>2.8284271247461903</v>
      </c>
      <c r="M9" t="str">
        <f t="shared" si="3"/>
        <v>Cra</v>
      </c>
      <c r="N9" t="str">
        <f t="shared" si="4"/>
        <v>ng</v>
      </c>
      <c r="O9">
        <f t="shared" si="5"/>
        <v>8</v>
      </c>
      <c r="Q9" s="2">
        <f ca="1">TODAY()</f>
        <v>46179</v>
      </c>
      <c r="R9">
        <f ca="1">YEAR(TODAY()+300)</f>
        <v>2027</v>
      </c>
      <c r="S9" t="s">
        <v>23</v>
      </c>
      <c r="T9" t="e">
        <v>#VALUE!</v>
      </c>
      <c r="U9">
        <v>8</v>
      </c>
      <c r="W9" t="str">
        <v>ABCDin-Texas</v>
      </c>
      <c r="Y9" t="str">
        <v>Austin-Austin-Texas</v>
      </c>
    </row>
    <row r="10" spans="1:25" x14ac:dyDescent="0.25">
      <c r="A10" t="s">
        <v>22</v>
      </c>
      <c r="B10" t="s">
        <v>15</v>
      </c>
      <c r="C10" t="s">
        <v>16</v>
      </c>
      <c r="D10">
        <v>2.99</v>
      </c>
      <c r="E10">
        <v>2.67080947261142</v>
      </c>
      <c r="F10" s="50">
        <f t="shared" si="0"/>
        <v>2.7</v>
      </c>
      <c r="G10" t="s">
        <v>21</v>
      </c>
      <c r="H10">
        <f t="shared" si="1"/>
        <v>3</v>
      </c>
      <c r="I10">
        <f t="shared" si="2"/>
        <v>1.7320508075688772</v>
      </c>
      <c r="M10" t="str">
        <f t="shared" si="3"/>
        <v>Cra</v>
      </c>
      <c r="N10" t="str">
        <f t="shared" si="4"/>
        <v>ng</v>
      </c>
      <c r="O10">
        <f t="shared" si="5"/>
        <v>8</v>
      </c>
      <c r="S10" t="s">
        <v>14</v>
      </c>
      <c r="T10" t="e">
        <v>#VALUE!</v>
      </c>
      <c r="U10" t="e">
        <v>#VALUE!</v>
      </c>
      <c r="W10" t="str">
        <v>ABCDalo-New York</v>
      </c>
      <c r="Y10" t="str">
        <v>BuffaloBuffalo-New York</v>
      </c>
    </row>
    <row r="11" spans="1:25" x14ac:dyDescent="0.25">
      <c r="A11" t="s">
        <v>22</v>
      </c>
      <c r="B11" t="s">
        <v>15</v>
      </c>
      <c r="C11" t="s">
        <v>16</v>
      </c>
      <c r="D11">
        <v>8.2200000000000006</v>
      </c>
      <c r="E11">
        <v>7.1067749314435504</v>
      </c>
      <c r="F11" s="50">
        <f t="shared" si="0"/>
        <v>7.1</v>
      </c>
      <c r="G11" t="s">
        <v>17</v>
      </c>
      <c r="H11">
        <f t="shared" si="1"/>
        <v>8.1999999999999993</v>
      </c>
      <c r="I11">
        <f t="shared" si="2"/>
        <v>2.8635642126552705</v>
      </c>
      <c r="M11" t="str">
        <f t="shared" si="3"/>
        <v>Cra</v>
      </c>
      <c r="N11" t="str">
        <f t="shared" si="4"/>
        <v>ng</v>
      </c>
      <c r="O11">
        <f t="shared" si="5"/>
        <v>8</v>
      </c>
      <c r="Q11" s="1" t="s">
        <v>35</v>
      </c>
      <c r="R11" s="1" t="s">
        <v>39</v>
      </c>
      <c r="S11" t="s">
        <v>24</v>
      </c>
      <c r="T11">
        <v>9</v>
      </c>
      <c r="U11">
        <v>9</v>
      </c>
      <c r="W11" t="str">
        <v>ABCDton-Texas</v>
      </c>
      <c r="Y11" t="str">
        <v>HoustonHouston-Texas</v>
      </c>
    </row>
    <row r="12" spans="1:25" x14ac:dyDescent="0.25">
      <c r="A12" t="s">
        <v>14</v>
      </c>
      <c r="B12" t="s">
        <v>15</v>
      </c>
      <c r="C12" t="s">
        <v>16</v>
      </c>
      <c r="D12">
        <v>5.95</v>
      </c>
      <c r="E12">
        <v>5.4161116395069504</v>
      </c>
      <c r="F12" s="50">
        <f t="shared" si="0"/>
        <v>5.4</v>
      </c>
      <c r="G12" t="s">
        <v>17</v>
      </c>
      <c r="H12">
        <f t="shared" si="1"/>
        <v>6</v>
      </c>
      <c r="I12">
        <f t="shared" si="2"/>
        <v>2.4494897427831779</v>
      </c>
      <c r="M12" t="str">
        <f t="shared" si="3"/>
        <v>Cra</v>
      </c>
      <c r="N12" t="str">
        <f t="shared" si="4"/>
        <v>ng</v>
      </c>
      <c r="O12">
        <f t="shared" si="5"/>
        <v>8</v>
      </c>
      <c r="Q12" s="2">
        <f>EOMONTH("02-06-2026",3)</f>
        <v>46295</v>
      </c>
      <c r="R12">
        <f ca="1">MONTH(TODAY()+40)</f>
        <v>7</v>
      </c>
      <c r="S12" t="s">
        <v>23</v>
      </c>
      <c r="T12" t="e">
        <v>#VALUE!</v>
      </c>
      <c r="U12" t="e">
        <v>#VALUE!</v>
      </c>
      <c r="W12" t="str">
        <v>ABCDFrancisco-Carlifornia</v>
      </c>
      <c r="Y12" t="str">
        <v>San FraSan Francisco-Carlifornia</v>
      </c>
    </row>
    <row r="13" spans="1:25" x14ac:dyDescent="0.25">
      <c r="A13" t="s">
        <v>23</v>
      </c>
      <c r="B13" t="s">
        <v>15</v>
      </c>
      <c r="C13" t="s">
        <v>16</v>
      </c>
      <c r="D13">
        <v>10.44</v>
      </c>
      <c r="E13">
        <v>9.2361940355201302</v>
      </c>
      <c r="F13" s="50">
        <f t="shared" si="0"/>
        <v>9.1999999999999993</v>
      </c>
      <c r="G13" t="s">
        <v>21</v>
      </c>
      <c r="H13">
        <f t="shared" si="1"/>
        <v>10.4</v>
      </c>
      <c r="I13">
        <f t="shared" si="2"/>
        <v>3.2249030993194201</v>
      </c>
      <c r="M13" t="str">
        <f t="shared" si="3"/>
        <v>Cra</v>
      </c>
      <c r="N13" t="str">
        <f t="shared" si="4"/>
        <v>ng</v>
      </c>
      <c r="O13">
        <f t="shared" si="5"/>
        <v>8</v>
      </c>
      <c r="S13" t="s">
        <v>22</v>
      </c>
      <c r="T13" t="e">
        <v>#VALUE!</v>
      </c>
      <c r="U13">
        <v>8</v>
      </c>
      <c r="W13" t="str">
        <v>ABCDin-Texas</v>
      </c>
      <c r="Y13" t="str">
        <v>Austin-Austin-Texas</v>
      </c>
    </row>
    <row r="14" spans="1:25" x14ac:dyDescent="0.25">
      <c r="A14" t="s">
        <v>14</v>
      </c>
      <c r="B14" t="s">
        <v>15</v>
      </c>
      <c r="C14" t="s">
        <v>16</v>
      </c>
      <c r="D14">
        <v>16.88</v>
      </c>
      <c r="E14">
        <v>14.3844222825145</v>
      </c>
      <c r="F14" s="50">
        <f t="shared" si="0"/>
        <v>14.4</v>
      </c>
      <c r="G14" t="s">
        <v>17</v>
      </c>
      <c r="H14">
        <f t="shared" si="1"/>
        <v>16.899999999999999</v>
      </c>
      <c r="I14">
        <f t="shared" si="2"/>
        <v>4.1109609582188931</v>
      </c>
      <c r="M14" t="str">
        <f t="shared" si="3"/>
        <v>Cra</v>
      </c>
      <c r="N14" t="str">
        <f t="shared" si="4"/>
        <v>ng</v>
      </c>
      <c r="O14">
        <f t="shared" si="5"/>
        <v>8</v>
      </c>
      <c r="Q14" s="1" t="s">
        <v>36</v>
      </c>
      <c r="R14" s="1" t="s">
        <v>40</v>
      </c>
      <c r="S14" t="s">
        <v>14</v>
      </c>
      <c r="T14" t="e">
        <v>#VALUE!</v>
      </c>
      <c r="U14">
        <v>8</v>
      </c>
      <c r="W14" t="str">
        <v>ABCDin-Texas</v>
      </c>
      <c r="Y14" t="str">
        <v>Austin-Austin-Texas</v>
      </c>
    </row>
    <row r="15" spans="1:25" x14ac:dyDescent="0.25">
      <c r="A15" t="s">
        <v>24</v>
      </c>
      <c r="B15" t="s">
        <v>15</v>
      </c>
      <c r="C15" t="s">
        <v>16</v>
      </c>
      <c r="D15">
        <v>6.99</v>
      </c>
      <c r="E15">
        <v>6.1582511117471803</v>
      </c>
      <c r="F15" s="50">
        <f t="shared" si="0"/>
        <v>6.2</v>
      </c>
      <c r="G15" t="s">
        <v>17</v>
      </c>
      <c r="H15">
        <f t="shared" si="1"/>
        <v>7</v>
      </c>
      <c r="I15">
        <f t="shared" si="2"/>
        <v>2.6457513110645907</v>
      </c>
      <c r="M15" t="str">
        <f t="shared" si="3"/>
        <v>Cra</v>
      </c>
      <c r="N15" t="str">
        <f t="shared" si="4"/>
        <v>ng</v>
      </c>
      <c r="O15">
        <f t="shared" si="5"/>
        <v>8</v>
      </c>
      <c r="Q15">
        <f ca="1">NETWORKDAYS(TODAY(),TODAY()+20,2)</f>
        <v>15</v>
      </c>
      <c r="R15">
        <f ca="1">DAY(TODAY()+5)</f>
        <v>11</v>
      </c>
      <c r="S15" t="s">
        <v>14</v>
      </c>
      <c r="T15" t="e">
        <v>#VALUE!</v>
      </c>
      <c r="U15">
        <v>9</v>
      </c>
      <c r="W15" t="str">
        <v>ABCDton-Texas</v>
      </c>
      <c r="Y15" t="str">
        <v>HoustonHouston-Texas</v>
      </c>
    </row>
    <row r="16" spans="1:25" x14ac:dyDescent="0.25">
      <c r="A16" t="s">
        <v>23</v>
      </c>
      <c r="B16" t="s">
        <v>15</v>
      </c>
      <c r="C16" t="s">
        <v>16</v>
      </c>
      <c r="D16">
        <v>14.99</v>
      </c>
      <c r="E16">
        <v>14.0347737853361</v>
      </c>
      <c r="F16" s="50">
        <f t="shared" si="0"/>
        <v>14</v>
      </c>
      <c r="G16" t="s">
        <v>21</v>
      </c>
      <c r="H16">
        <f t="shared" si="1"/>
        <v>15</v>
      </c>
      <c r="I16">
        <f t="shared" si="2"/>
        <v>3.872983346207417</v>
      </c>
      <c r="M16" t="str">
        <f t="shared" si="3"/>
        <v>Cra</v>
      </c>
      <c r="N16" t="str">
        <f t="shared" si="4"/>
        <v>ng</v>
      </c>
      <c r="O16">
        <f t="shared" si="5"/>
        <v>8</v>
      </c>
      <c r="S16" t="s">
        <v>23</v>
      </c>
      <c r="T16" t="e">
        <v>#VALUE!</v>
      </c>
    </row>
    <row r="17" spans="1:21" x14ac:dyDescent="0.25">
      <c r="A17" t="s">
        <v>22</v>
      </c>
      <c r="B17" t="s">
        <v>15</v>
      </c>
      <c r="C17" t="s">
        <v>16</v>
      </c>
      <c r="D17">
        <v>12.49</v>
      </c>
      <c r="E17">
        <v>11.088755568577</v>
      </c>
      <c r="F17" s="50">
        <f t="shared" si="0"/>
        <v>11.1</v>
      </c>
      <c r="G17" t="s">
        <v>25</v>
      </c>
      <c r="H17">
        <f t="shared" si="1"/>
        <v>12.5</v>
      </c>
      <c r="I17">
        <f t="shared" si="2"/>
        <v>3.5355339059327378</v>
      </c>
      <c r="M17" t="str">
        <f t="shared" si="3"/>
        <v>Cra</v>
      </c>
      <c r="N17" t="str">
        <f t="shared" si="4"/>
        <v>ng</v>
      </c>
      <c r="O17">
        <f t="shared" si="5"/>
        <v>8</v>
      </c>
    </row>
    <row r="18" spans="1:21" ht="18.75" x14ac:dyDescent="0.3">
      <c r="A18" t="s">
        <v>14</v>
      </c>
      <c r="B18" t="s">
        <v>15</v>
      </c>
      <c r="C18" t="s">
        <v>16</v>
      </c>
      <c r="D18">
        <v>7.99</v>
      </c>
      <c r="E18">
        <v>7.4222338708557096</v>
      </c>
      <c r="F18" s="50">
        <f t="shared" si="0"/>
        <v>7.4</v>
      </c>
      <c r="G18" t="s">
        <v>17</v>
      </c>
      <c r="H18">
        <f t="shared" si="1"/>
        <v>8</v>
      </c>
      <c r="I18">
        <f t="shared" si="2"/>
        <v>2.8284271247461903</v>
      </c>
      <c r="M18" t="str">
        <f t="shared" si="3"/>
        <v>Cra</v>
      </c>
      <c r="N18" t="str">
        <f t="shared" si="4"/>
        <v>ng</v>
      </c>
      <c r="O18">
        <f t="shared" si="5"/>
        <v>8</v>
      </c>
      <c r="S18" s="3" t="s">
        <v>47</v>
      </c>
      <c r="U18" s="3" t="s">
        <v>48</v>
      </c>
    </row>
    <row r="19" spans="1:21" x14ac:dyDescent="0.25">
      <c r="A19" t="s">
        <v>14</v>
      </c>
      <c r="B19" t="s">
        <v>15</v>
      </c>
      <c r="C19" t="s">
        <v>16</v>
      </c>
      <c r="D19">
        <v>14.97</v>
      </c>
      <c r="E19">
        <v>14.201831447502199</v>
      </c>
      <c r="F19" s="50">
        <f t="shared" si="0"/>
        <v>14.2</v>
      </c>
      <c r="G19" t="s">
        <v>17</v>
      </c>
      <c r="H19">
        <f t="shared" si="1"/>
        <v>15</v>
      </c>
      <c r="I19">
        <f t="shared" si="2"/>
        <v>3.872983346207417</v>
      </c>
      <c r="M19" t="str">
        <f t="shared" si="3"/>
        <v>Cra</v>
      </c>
      <c r="N19" t="str">
        <f t="shared" si="4"/>
        <v>ng</v>
      </c>
      <c r="O19">
        <f t="shared" si="5"/>
        <v>8</v>
      </c>
      <c r="S19" t="str" cm="1">
        <f t="array" ref="S19:S31">SUBSTITUTE(S4:S16,"Texas","Apple")</f>
        <v>Buffalo-New York</v>
      </c>
      <c r="U19" t="str" cm="1">
        <f t="array" ref="U19:U31">MID(S4:S16,1,7)</f>
        <v>Buffalo</v>
      </c>
    </row>
    <row r="20" spans="1:21" x14ac:dyDescent="0.25">
      <c r="A20" t="s">
        <v>23</v>
      </c>
      <c r="B20" t="s">
        <v>15</v>
      </c>
      <c r="C20" t="s">
        <v>16</v>
      </c>
      <c r="D20">
        <v>4.75</v>
      </c>
      <c r="E20">
        <v>4.3331722374248498</v>
      </c>
      <c r="F20" s="50">
        <f t="shared" si="0"/>
        <v>4.3</v>
      </c>
      <c r="G20" t="s">
        <v>17</v>
      </c>
      <c r="H20">
        <f t="shared" si="1"/>
        <v>4.8</v>
      </c>
      <c r="I20">
        <f t="shared" si="2"/>
        <v>2.1908902300206643</v>
      </c>
      <c r="M20" t="str">
        <f t="shared" si="3"/>
        <v>Cra</v>
      </c>
      <c r="N20" t="str">
        <f t="shared" si="4"/>
        <v>ng</v>
      </c>
      <c r="O20">
        <f t="shared" si="5"/>
        <v>8</v>
      </c>
      <c r="S20" t="str">
        <v>San Francisco-Carlifornia</v>
      </c>
      <c r="U20" t="str">
        <v>San Fra</v>
      </c>
    </row>
    <row r="21" spans="1:21" x14ac:dyDescent="0.25">
      <c r="A21" t="s">
        <v>14</v>
      </c>
      <c r="B21" t="s">
        <v>15</v>
      </c>
      <c r="C21" t="s">
        <v>16</v>
      </c>
      <c r="D21">
        <v>16.100000000000001</v>
      </c>
      <c r="E21">
        <v>14.716136675268199</v>
      </c>
      <c r="F21" s="50">
        <f t="shared" si="0"/>
        <v>14.7</v>
      </c>
      <c r="G21" t="s">
        <v>17</v>
      </c>
      <c r="H21">
        <f t="shared" si="1"/>
        <v>16.100000000000001</v>
      </c>
      <c r="I21">
        <f t="shared" si="2"/>
        <v>4.0124805295477763</v>
      </c>
      <c r="M21" t="str">
        <f t="shared" si="3"/>
        <v>Cra</v>
      </c>
      <c r="N21" t="str">
        <f t="shared" si="4"/>
        <v>ng</v>
      </c>
      <c r="O21">
        <f t="shared" si="5"/>
        <v>8</v>
      </c>
      <c r="S21" t="str">
        <v>San Francisco-Carlifornia</v>
      </c>
      <c r="U21" t="str">
        <v>San Fra</v>
      </c>
    </row>
    <row r="22" spans="1:21" x14ac:dyDescent="0.25">
      <c r="A22" t="s">
        <v>22</v>
      </c>
      <c r="B22" t="s">
        <v>15</v>
      </c>
      <c r="C22" t="s">
        <v>16</v>
      </c>
      <c r="D22">
        <v>10.99</v>
      </c>
      <c r="E22">
        <v>9.6389069478143306</v>
      </c>
      <c r="F22" s="50">
        <f t="shared" si="0"/>
        <v>9.6</v>
      </c>
      <c r="G22" t="s">
        <v>17</v>
      </c>
      <c r="H22">
        <f t="shared" si="1"/>
        <v>11</v>
      </c>
      <c r="I22">
        <f t="shared" si="2"/>
        <v>3.3166247903553998</v>
      </c>
      <c r="M22" t="str">
        <f t="shared" si="3"/>
        <v>Cra</v>
      </c>
      <c r="N22" t="str">
        <f t="shared" si="4"/>
        <v>ng</v>
      </c>
      <c r="O22">
        <f t="shared" si="5"/>
        <v>8</v>
      </c>
      <c r="S22" t="str">
        <v>San Francisco-Carlifornia</v>
      </c>
      <c r="U22" t="str">
        <v>San Fra</v>
      </c>
    </row>
    <row r="23" spans="1:21" x14ac:dyDescent="0.25">
      <c r="A23" t="s">
        <v>14</v>
      </c>
      <c r="B23" t="s">
        <v>15</v>
      </c>
      <c r="C23" t="s">
        <v>26</v>
      </c>
      <c r="D23">
        <v>17.59</v>
      </c>
      <c r="E23">
        <v>16.054744314438501</v>
      </c>
      <c r="F23" s="50">
        <f t="shared" si="0"/>
        <v>16.100000000000001</v>
      </c>
      <c r="G23" t="s">
        <v>21</v>
      </c>
      <c r="H23">
        <f t="shared" si="1"/>
        <v>17.600000000000001</v>
      </c>
      <c r="I23">
        <f t="shared" si="2"/>
        <v>4.1952353926806065</v>
      </c>
      <c r="M23" t="str">
        <f t="shared" si="3"/>
        <v>Fab</v>
      </c>
      <c r="N23" t="str">
        <f t="shared" si="4"/>
        <v>ic</v>
      </c>
      <c r="O23">
        <f t="shared" si="5"/>
        <v>6</v>
      </c>
      <c r="S23" t="str">
        <v>Austin-Apple</v>
      </c>
      <c r="U23" t="str">
        <v>Austin-</v>
      </c>
    </row>
    <row r="24" spans="1:21" x14ac:dyDescent="0.25">
      <c r="A24" t="s">
        <v>22</v>
      </c>
      <c r="B24" t="s">
        <v>15</v>
      </c>
      <c r="C24" t="s">
        <v>26</v>
      </c>
      <c r="D24">
        <v>5.98</v>
      </c>
      <c r="E24">
        <v>5.1961314078878997</v>
      </c>
      <c r="F24" s="50">
        <f t="shared" si="0"/>
        <v>5.2</v>
      </c>
      <c r="G24" t="s">
        <v>21</v>
      </c>
      <c r="H24">
        <f t="shared" si="1"/>
        <v>6</v>
      </c>
      <c r="I24">
        <f t="shared" si="2"/>
        <v>2.4494897427831779</v>
      </c>
      <c r="M24" t="str">
        <f t="shared" si="3"/>
        <v>Fab</v>
      </c>
      <c r="N24" t="str">
        <f t="shared" si="4"/>
        <v>ic</v>
      </c>
      <c r="O24">
        <f t="shared" si="5"/>
        <v>6</v>
      </c>
      <c r="S24" t="str">
        <v>Houston-Apple</v>
      </c>
      <c r="U24" t="str">
        <v>Houston</v>
      </c>
    </row>
    <row r="25" spans="1:21" x14ac:dyDescent="0.25">
      <c r="A25" t="s">
        <v>14</v>
      </c>
      <c r="B25" t="s">
        <v>15</v>
      </c>
      <c r="C25" t="s">
        <v>26</v>
      </c>
      <c r="D25">
        <v>13.99</v>
      </c>
      <c r="E25">
        <v>13.2867699759299</v>
      </c>
      <c r="F25" s="50">
        <f t="shared" si="0"/>
        <v>13.3</v>
      </c>
      <c r="G25" t="s">
        <v>17</v>
      </c>
      <c r="H25">
        <f t="shared" si="1"/>
        <v>14</v>
      </c>
      <c r="I25">
        <f t="shared" si="2"/>
        <v>3.7416573867739413</v>
      </c>
      <c r="M25" t="str">
        <f t="shared" si="3"/>
        <v>Fab</v>
      </c>
      <c r="N25" t="str">
        <f t="shared" si="4"/>
        <v>ic</v>
      </c>
      <c r="O25">
        <f t="shared" si="5"/>
        <v>6</v>
      </c>
      <c r="S25" t="str">
        <v>Austin-Apple</v>
      </c>
      <c r="U25" t="str">
        <v>Austin-</v>
      </c>
    </row>
    <row r="26" spans="1:21" x14ac:dyDescent="0.25">
      <c r="A26" t="s">
        <v>24</v>
      </c>
      <c r="B26" t="s">
        <v>15</v>
      </c>
      <c r="C26" t="s">
        <v>26</v>
      </c>
      <c r="D26">
        <v>16.28</v>
      </c>
      <c r="E26">
        <v>14.348579895213501</v>
      </c>
      <c r="F26" s="50">
        <f t="shared" si="0"/>
        <v>14.3</v>
      </c>
      <c r="G26" t="s">
        <v>21</v>
      </c>
      <c r="H26">
        <f t="shared" si="1"/>
        <v>16.3</v>
      </c>
      <c r="I26">
        <f t="shared" si="2"/>
        <v>4.0373258476372698</v>
      </c>
      <c r="M26" t="str">
        <f t="shared" si="3"/>
        <v>Fab</v>
      </c>
      <c r="N26" t="str">
        <f t="shared" si="4"/>
        <v>ic</v>
      </c>
      <c r="O26">
        <f t="shared" si="5"/>
        <v>6</v>
      </c>
      <c r="S26" t="str">
        <v>Buffalo-New York</v>
      </c>
      <c r="U26" t="str">
        <v>Buffalo</v>
      </c>
    </row>
    <row r="27" spans="1:21" x14ac:dyDescent="0.25">
      <c r="A27" t="s">
        <v>14</v>
      </c>
      <c r="B27" t="s">
        <v>15</v>
      </c>
      <c r="C27" t="s">
        <v>27</v>
      </c>
      <c r="D27">
        <v>16.47</v>
      </c>
      <c r="E27">
        <v>15.501082479930799</v>
      </c>
      <c r="F27" s="50">
        <f t="shared" si="0"/>
        <v>15.5</v>
      </c>
      <c r="G27" t="s">
        <v>17</v>
      </c>
      <c r="H27">
        <f t="shared" si="1"/>
        <v>16.5</v>
      </c>
      <c r="I27">
        <f t="shared" si="2"/>
        <v>4.0620192023179804</v>
      </c>
      <c r="M27" t="str">
        <f t="shared" si="3"/>
        <v>Fab</v>
      </c>
      <c r="N27" t="str">
        <f t="shared" si="4"/>
        <v>ng</v>
      </c>
      <c r="O27">
        <f t="shared" si="5"/>
        <v>17</v>
      </c>
      <c r="S27" t="str">
        <v>Houston-Apple</v>
      </c>
      <c r="U27" t="str">
        <v>Houston</v>
      </c>
    </row>
    <row r="28" spans="1:21" x14ac:dyDescent="0.25">
      <c r="A28" t="s">
        <v>14</v>
      </c>
      <c r="B28" t="s">
        <v>15</v>
      </c>
      <c r="C28" t="s">
        <v>27</v>
      </c>
      <c r="D28">
        <v>9.09</v>
      </c>
      <c r="E28">
        <v>8.5282511466276194</v>
      </c>
      <c r="F28" s="50">
        <f t="shared" si="0"/>
        <v>8.5</v>
      </c>
      <c r="G28" t="s">
        <v>21</v>
      </c>
      <c r="H28">
        <f t="shared" si="1"/>
        <v>9.1</v>
      </c>
      <c r="I28">
        <f t="shared" si="2"/>
        <v>3.0166206257996713</v>
      </c>
      <c r="M28" t="str">
        <f t="shared" si="3"/>
        <v>Fab</v>
      </c>
      <c r="N28" t="str">
        <f t="shared" si="4"/>
        <v>ng</v>
      </c>
      <c r="O28">
        <f t="shared" si="5"/>
        <v>17</v>
      </c>
      <c r="S28" t="str">
        <v>San Francisco-Carlifornia</v>
      </c>
      <c r="U28" t="str">
        <v>San Fra</v>
      </c>
    </row>
    <row r="29" spans="1:21" x14ac:dyDescent="0.25">
      <c r="A29" t="s">
        <v>22</v>
      </c>
      <c r="B29" t="s">
        <v>15</v>
      </c>
      <c r="C29" t="s">
        <v>27</v>
      </c>
      <c r="D29">
        <v>14.8</v>
      </c>
      <c r="E29">
        <v>13.2931491873433</v>
      </c>
      <c r="F29" s="50">
        <f t="shared" si="0"/>
        <v>13.3</v>
      </c>
      <c r="G29" t="s">
        <v>17</v>
      </c>
      <c r="H29">
        <f t="shared" si="1"/>
        <v>14.8</v>
      </c>
      <c r="I29">
        <f t="shared" si="2"/>
        <v>3.8470768123342691</v>
      </c>
      <c r="M29" t="str">
        <f t="shared" si="3"/>
        <v>Fab</v>
      </c>
      <c r="N29" t="str">
        <f t="shared" si="4"/>
        <v>ng</v>
      </c>
      <c r="O29">
        <f t="shared" si="5"/>
        <v>17</v>
      </c>
      <c r="S29" t="str">
        <v>Austin-Apple</v>
      </c>
      <c r="U29" t="str">
        <v>Austin-</v>
      </c>
    </row>
    <row r="30" spans="1:21" x14ac:dyDescent="0.25">
      <c r="A30" t="s">
        <v>14</v>
      </c>
      <c r="B30" t="s">
        <v>15</v>
      </c>
      <c r="C30" t="s">
        <v>27</v>
      </c>
      <c r="D30">
        <v>19.79</v>
      </c>
      <c r="E30">
        <v>18.214202281095002</v>
      </c>
      <c r="F30" s="50">
        <f t="shared" si="0"/>
        <v>18.2</v>
      </c>
      <c r="G30" t="s">
        <v>21</v>
      </c>
      <c r="H30">
        <f t="shared" si="1"/>
        <v>19.8</v>
      </c>
      <c r="I30">
        <f t="shared" si="2"/>
        <v>4.4497190922573981</v>
      </c>
      <c r="M30" t="str">
        <f t="shared" si="3"/>
        <v>Fab</v>
      </c>
      <c r="N30" t="str">
        <f t="shared" si="4"/>
        <v>ng</v>
      </c>
      <c r="O30">
        <f t="shared" si="5"/>
        <v>17</v>
      </c>
      <c r="S30" t="str">
        <v>Austin-Apple</v>
      </c>
      <c r="U30" t="str">
        <v>Austin-</v>
      </c>
    </row>
    <row r="31" spans="1:21" x14ac:dyDescent="0.25">
      <c r="A31" t="s">
        <v>24</v>
      </c>
      <c r="B31" t="s">
        <v>15</v>
      </c>
      <c r="C31" t="s">
        <v>27</v>
      </c>
      <c r="D31">
        <v>18.98</v>
      </c>
      <c r="E31">
        <v>16.506319071968601</v>
      </c>
      <c r="F31" s="50">
        <f t="shared" si="0"/>
        <v>16.5</v>
      </c>
      <c r="G31" t="s">
        <v>21</v>
      </c>
      <c r="H31">
        <f t="shared" si="1"/>
        <v>19</v>
      </c>
      <c r="I31">
        <f t="shared" si="2"/>
        <v>4.358898943540674</v>
      </c>
      <c r="M31" t="str">
        <f t="shared" si="3"/>
        <v>Fab</v>
      </c>
      <c r="N31" t="str">
        <f t="shared" si="4"/>
        <v>ng</v>
      </c>
      <c r="O31">
        <f t="shared" si="5"/>
        <v>17</v>
      </c>
      <c r="S31" t="str">
        <v>Houston-Apple</v>
      </c>
      <c r="U31" t="str">
        <v>Houston</v>
      </c>
    </row>
    <row r="32" spans="1:21" x14ac:dyDescent="0.25">
      <c r="A32" t="s">
        <v>24</v>
      </c>
      <c r="B32" t="s">
        <v>15</v>
      </c>
      <c r="C32" t="s">
        <v>28</v>
      </c>
      <c r="D32">
        <v>13.69</v>
      </c>
      <c r="E32">
        <v>12.4862735985378</v>
      </c>
      <c r="F32" s="50">
        <f t="shared" si="0"/>
        <v>12.5</v>
      </c>
      <c r="G32" t="s">
        <v>21</v>
      </c>
      <c r="H32">
        <f t="shared" si="1"/>
        <v>13.7</v>
      </c>
      <c r="I32">
        <f t="shared" si="2"/>
        <v>3.7013511046643495</v>
      </c>
      <c r="M32" t="str">
        <f t="shared" si="3"/>
        <v>Gif</v>
      </c>
      <c r="N32" t="str">
        <f t="shared" si="4"/>
        <v>es</v>
      </c>
      <c r="O32">
        <f t="shared" ref="O32:O51" si="6">LEN(C32)</f>
        <v>22</v>
      </c>
    </row>
    <row r="33" spans="1:22" x14ac:dyDescent="0.25">
      <c r="A33" t="s">
        <v>22</v>
      </c>
      <c r="B33" t="s">
        <v>15</v>
      </c>
      <c r="C33" t="s">
        <v>28</v>
      </c>
      <c r="D33">
        <v>7.99</v>
      </c>
      <c r="E33">
        <v>7.5090960553334503</v>
      </c>
      <c r="F33" s="50">
        <f t="shared" si="0"/>
        <v>7.5</v>
      </c>
      <c r="G33" t="s">
        <v>17</v>
      </c>
      <c r="H33">
        <f t="shared" si="1"/>
        <v>8</v>
      </c>
      <c r="I33">
        <f t="shared" si="2"/>
        <v>2.8284271247461903</v>
      </c>
      <c r="M33" t="str">
        <f t="shared" si="3"/>
        <v>Gif</v>
      </c>
      <c r="N33" t="str">
        <f t="shared" si="4"/>
        <v>es</v>
      </c>
      <c r="O33">
        <f t="shared" si="6"/>
        <v>22</v>
      </c>
    </row>
    <row r="34" spans="1:22" ht="22.5" customHeight="1" x14ac:dyDescent="0.35">
      <c r="A34" t="s">
        <v>14</v>
      </c>
      <c r="B34" t="s">
        <v>15</v>
      </c>
      <c r="C34" t="s">
        <v>28</v>
      </c>
      <c r="D34">
        <v>25.99</v>
      </c>
      <c r="E34">
        <v>22.266528526312701</v>
      </c>
      <c r="F34" s="50">
        <f t="shared" si="0"/>
        <v>22.3</v>
      </c>
      <c r="G34" t="s">
        <v>17</v>
      </c>
      <c r="H34">
        <f t="shared" si="1"/>
        <v>26</v>
      </c>
      <c r="I34">
        <f t="shared" si="2"/>
        <v>5.0990195135927845</v>
      </c>
      <c r="M34" t="str">
        <f t="shared" si="3"/>
        <v>Gif</v>
      </c>
      <c r="N34" t="str">
        <f t="shared" si="4"/>
        <v>es</v>
      </c>
      <c r="O34">
        <f t="shared" si="6"/>
        <v>22</v>
      </c>
      <c r="S34" s="68" t="s">
        <v>51</v>
      </c>
    </row>
    <row r="35" spans="1:22" x14ac:dyDescent="0.25">
      <c r="A35" t="s">
        <v>14</v>
      </c>
      <c r="B35" t="s">
        <v>15</v>
      </c>
      <c r="C35" t="s">
        <v>28</v>
      </c>
      <c r="D35">
        <v>21.99</v>
      </c>
      <c r="E35">
        <v>20.412429971224</v>
      </c>
      <c r="F35" s="50">
        <f t="shared" si="0"/>
        <v>20.399999999999999</v>
      </c>
      <c r="G35" t="s">
        <v>17</v>
      </c>
      <c r="H35">
        <f t="shared" si="1"/>
        <v>22</v>
      </c>
      <c r="I35">
        <f t="shared" si="2"/>
        <v>4.6904157598234297</v>
      </c>
      <c r="M35" t="str">
        <f t="shared" si="3"/>
        <v>Gif</v>
      </c>
      <c r="N35" t="str">
        <f t="shared" si="4"/>
        <v>es</v>
      </c>
      <c r="O35">
        <f t="shared" si="6"/>
        <v>22</v>
      </c>
    </row>
    <row r="36" spans="1:22" x14ac:dyDescent="0.25">
      <c r="A36" t="s">
        <v>22</v>
      </c>
      <c r="B36" t="s">
        <v>15</v>
      </c>
      <c r="C36" t="s">
        <v>28</v>
      </c>
      <c r="D36">
        <v>6.5</v>
      </c>
      <c r="E36">
        <v>5.9030077767381997</v>
      </c>
      <c r="F36" s="50">
        <f t="shared" si="0"/>
        <v>5.9</v>
      </c>
      <c r="G36" t="s">
        <v>21</v>
      </c>
      <c r="H36">
        <f t="shared" si="1"/>
        <v>6.5</v>
      </c>
      <c r="I36">
        <f t="shared" si="2"/>
        <v>2.5495097567963922</v>
      </c>
      <c r="M36" t="str">
        <f t="shared" si="3"/>
        <v>Gif</v>
      </c>
      <c r="N36" t="str">
        <f t="shared" si="4"/>
        <v>es</v>
      </c>
      <c r="O36">
        <f t="shared" si="6"/>
        <v>22</v>
      </c>
      <c r="Q36" s="8" t="s">
        <v>163</v>
      </c>
      <c r="R36" s="8" t="s">
        <v>55</v>
      </c>
      <c r="S36" s="8" t="s">
        <v>71</v>
      </c>
      <c r="T36" s="8" t="s">
        <v>68</v>
      </c>
      <c r="U36" s="8" t="s">
        <v>69</v>
      </c>
      <c r="V36" s="8" t="s">
        <v>70</v>
      </c>
    </row>
    <row r="37" spans="1:22" x14ac:dyDescent="0.25">
      <c r="A37" t="s">
        <v>14</v>
      </c>
      <c r="B37" t="s">
        <v>15</v>
      </c>
      <c r="C37" t="s">
        <v>28</v>
      </c>
      <c r="D37">
        <v>4.99</v>
      </c>
      <c r="E37">
        <v>4.7392507130982002</v>
      </c>
      <c r="F37" s="50">
        <f t="shared" si="0"/>
        <v>4.7</v>
      </c>
      <c r="G37" t="s">
        <v>17</v>
      </c>
      <c r="H37">
        <f t="shared" si="1"/>
        <v>5</v>
      </c>
      <c r="I37">
        <f t="shared" si="2"/>
        <v>2.2360679774997898</v>
      </c>
      <c r="M37" t="str">
        <f t="shared" si="3"/>
        <v>Gif</v>
      </c>
      <c r="N37" t="str">
        <f t="shared" si="4"/>
        <v>es</v>
      </c>
      <c r="O37">
        <f t="shared" si="6"/>
        <v>22</v>
      </c>
      <c r="Q37">
        <f>SQRT(O51)</f>
        <v>4.2426406871192848</v>
      </c>
      <c r="R37">
        <f>PRODUCT(Q37:Q38)</f>
        <v>5.2893001446316124</v>
      </c>
      <c r="S37">
        <f>MOD(Q37,Q38)</f>
        <v>0.50254068711928501</v>
      </c>
      <c r="T37">
        <f>FACT(Q37)</f>
        <v>24</v>
      </c>
      <c r="U37">
        <f>ROUNDUP(Q37,3)</f>
        <v>4.2430000000000003</v>
      </c>
      <c r="V37">
        <f>ROUNDDOWN(Q38,2)</f>
        <v>1.24</v>
      </c>
    </row>
    <row r="38" spans="1:22" x14ac:dyDescent="0.25">
      <c r="A38" t="s">
        <v>24</v>
      </c>
      <c r="B38" t="s">
        <v>15</v>
      </c>
      <c r="C38" t="s">
        <v>28</v>
      </c>
      <c r="D38">
        <v>11.99</v>
      </c>
      <c r="E38">
        <v>10.4505355148715</v>
      </c>
      <c r="F38" s="50">
        <f t="shared" si="0"/>
        <v>10.5</v>
      </c>
      <c r="G38" t="s">
        <v>21</v>
      </c>
      <c r="H38">
        <f t="shared" si="1"/>
        <v>12</v>
      </c>
      <c r="I38">
        <f t="shared" si="2"/>
        <v>3.4641016151377544</v>
      </c>
      <c r="M38" t="str">
        <f t="shared" si="3"/>
        <v>Gif</v>
      </c>
      <c r="N38" t="str">
        <f t="shared" si="4"/>
        <v>es</v>
      </c>
      <c r="O38">
        <f t="shared" si="6"/>
        <v>22</v>
      </c>
      <c r="Q38">
        <v>1.2466999999999999</v>
      </c>
      <c r="R38">
        <f>PRODUCT(Q37:Q39)</f>
        <v>306.26370162453196</v>
      </c>
    </row>
    <row r="39" spans="1:22" x14ac:dyDescent="0.25">
      <c r="A39" t="s">
        <v>22</v>
      </c>
      <c r="B39" t="s">
        <v>15</v>
      </c>
      <c r="C39" t="s">
        <v>28</v>
      </c>
      <c r="D39">
        <v>9.99</v>
      </c>
      <c r="E39">
        <v>9.0734385128335795</v>
      </c>
      <c r="F39" s="50">
        <f t="shared" si="0"/>
        <v>9.1</v>
      </c>
      <c r="G39" t="s">
        <v>21</v>
      </c>
      <c r="H39">
        <f t="shared" si="1"/>
        <v>10</v>
      </c>
      <c r="I39">
        <f t="shared" si="2"/>
        <v>3.1622776601683795</v>
      </c>
      <c r="M39" t="str">
        <f t="shared" si="3"/>
        <v>Gif</v>
      </c>
      <c r="N39" t="str">
        <f t="shared" si="4"/>
        <v>es</v>
      </c>
      <c r="O39">
        <f t="shared" si="6"/>
        <v>22</v>
      </c>
      <c r="Q39">
        <v>57.902500000000003</v>
      </c>
      <c r="R39">
        <f>PRODUCT(Q38:Q39)</f>
        <v>72.187046749999993</v>
      </c>
    </row>
    <row r="40" spans="1:22" x14ac:dyDescent="0.25">
      <c r="A40" t="s">
        <v>23</v>
      </c>
      <c r="B40" t="s">
        <v>15</v>
      </c>
      <c r="C40" t="s">
        <v>28</v>
      </c>
      <c r="D40">
        <v>5.95</v>
      </c>
      <c r="E40">
        <v>5.2935753917681403</v>
      </c>
      <c r="F40" s="50">
        <f t="shared" si="0"/>
        <v>5.3</v>
      </c>
      <c r="G40" t="s">
        <v>17</v>
      </c>
      <c r="H40">
        <f t="shared" si="1"/>
        <v>6</v>
      </c>
      <c r="I40">
        <f t="shared" si="2"/>
        <v>2.4494897427831779</v>
      </c>
      <c r="M40" t="str">
        <f t="shared" si="3"/>
        <v>Gif</v>
      </c>
      <c r="N40" t="str">
        <f t="shared" si="4"/>
        <v>es</v>
      </c>
      <c r="O40">
        <f t="shared" si="6"/>
        <v>22</v>
      </c>
    </row>
    <row r="41" spans="1:22" x14ac:dyDescent="0.25">
      <c r="A41" t="s">
        <v>24</v>
      </c>
      <c r="B41" t="s">
        <v>15</v>
      </c>
      <c r="C41" t="s">
        <v>28</v>
      </c>
      <c r="D41">
        <v>8.4600000000000009</v>
      </c>
      <c r="E41">
        <v>7.8605215258018397</v>
      </c>
      <c r="F41" s="50">
        <f t="shared" si="0"/>
        <v>7.9</v>
      </c>
      <c r="G41" t="s">
        <v>21</v>
      </c>
      <c r="H41">
        <f t="shared" si="1"/>
        <v>8.5</v>
      </c>
      <c r="I41">
        <f t="shared" si="2"/>
        <v>2.9154759474226504</v>
      </c>
      <c r="M41" t="str">
        <f t="shared" si="3"/>
        <v>Gif</v>
      </c>
      <c r="N41" t="str">
        <f t="shared" si="4"/>
        <v>es</v>
      </c>
      <c r="O41">
        <f t="shared" si="6"/>
        <v>22</v>
      </c>
      <c r="Q41" s="5" t="s">
        <v>52</v>
      </c>
      <c r="R41" s="5" t="s">
        <v>55</v>
      </c>
      <c r="S41" s="5" t="s">
        <v>53</v>
      </c>
      <c r="T41" s="5" t="s">
        <v>54</v>
      </c>
      <c r="U41" s="5" t="s">
        <v>56</v>
      </c>
    </row>
    <row r="42" spans="1:22" x14ac:dyDescent="0.25">
      <c r="A42" t="s">
        <v>22</v>
      </c>
      <c r="B42" t="s">
        <v>15</v>
      </c>
      <c r="C42" t="s">
        <v>28</v>
      </c>
      <c r="D42">
        <v>5.97</v>
      </c>
      <c r="E42">
        <v>5.2694424223627498</v>
      </c>
      <c r="F42" s="50">
        <f t="shared" si="0"/>
        <v>5.3</v>
      </c>
      <c r="G42" t="s">
        <v>17</v>
      </c>
      <c r="H42">
        <f t="shared" si="1"/>
        <v>6</v>
      </c>
      <c r="I42">
        <f t="shared" si="2"/>
        <v>2.4494897427831779</v>
      </c>
      <c r="M42" t="str">
        <f t="shared" si="3"/>
        <v>Gif</v>
      </c>
      <c r="N42" t="str">
        <f t="shared" si="4"/>
        <v>es</v>
      </c>
      <c r="O42">
        <f t="shared" si="6"/>
        <v>22</v>
      </c>
      <c r="Q42" s="6">
        <v>38869</v>
      </c>
      <c r="R42" s="7" t="s">
        <v>57</v>
      </c>
      <c r="S42" s="7" t="s">
        <v>60</v>
      </c>
      <c r="T42" s="7" t="s">
        <v>64</v>
      </c>
      <c r="U42" s="7">
        <v>100</v>
      </c>
    </row>
    <row r="43" spans="1:22" x14ac:dyDescent="0.25">
      <c r="A43" t="s">
        <v>14</v>
      </c>
      <c r="B43" t="s">
        <v>15</v>
      </c>
      <c r="C43" t="s">
        <v>28</v>
      </c>
      <c r="D43">
        <v>8.99</v>
      </c>
      <c r="E43">
        <v>7.7934825662873797</v>
      </c>
      <c r="F43" s="50">
        <f t="shared" si="0"/>
        <v>7.8</v>
      </c>
      <c r="G43" t="s">
        <v>17</v>
      </c>
      <c r="H43">
        <f t="shared" si="1"/>
        <v>9</v>
      </c>
      <c r="I43">
        <f t="shared" si="2"/>
        <v>3</v>
      </c>
      <c r="M43" t="str">
        <f t="shared" si="3"/>
        <v>Gif</v>
      </c>
      <c r="N43" t="str">
        <f t="shared" si="4"/>
        <v>es</v>
      </c>
      <c r="O43">
        <f t="shared" si="6"/>
        <v>22</v>
      </c>
      <c r="Q43" s="6">
        <v>38870</v>
      </c>
      <c r="R43" s="7" t="s">
        <v>58</v>
      </c>
      <c r="S43" s="7" t="s">
        <v>61</v>
      </c>
      <c r="T43" s="7" t="s">
        <v>65</v>
      </c>
      <c r="U43" s="7">
        <v>50</v>
      </c>
    </row>
    <row r="44" spans="1:22" x14ac:dyDescent="0.25">
      <c r="A44" t="s">
        <v>23</v>
      </c>
      <c r="B44" t="s">
        <v>15</v>
      </c>
      <c r="C44" t="s">
        <v>28</v>
      </c>
      <c r="D44">
        <v>6.99</v>
      </c>
      <c r="E44">
        <v>6.4241384830357902</v>
      </c>
      <c r="F44" s="50">
        <f t="shared" si="0"/>
        <v>6.4</v>
      </c>
      <c r="G44" t="s">
        <v>21</v>
      </c>
      <c r="H44">
        <f t="shared" si="1"/>
        <v>7</v>
      </c>
      <c r="I44">
        <f t="shared" si="2"/>
        <v>2.6457513110645907</v>
      </c>
      <c r="M44" t="str">
        <f t="shared" si="3"/>
        <v>Gif</v>
      </c>
      <c r="N44" t="str">
        <f t="shared" si="4"/>
        <v>es</v>
      </c>
      <c r="O44">
        <f t="shared" si="6"/>
        <v>22</v>
      </c>
      <c r="Q44" s="6">
        <v>38871</v>
      </c>
      <c r="R44" s="7" t="s">
        <v>59</v>
      </c>
      <c r="S44" s="7" t="s">
        <v>60</v>
      </c>
      <c r="T44" s="7" t="s">
        <v>64</v>
      </c>
      <c r="U44" s="7">
        <v>200</v>
      </c>
    </row>
    <row r="45" spans="1:22" x14ac:dyDescent="0.25">
      <c r="A45" t="s">
        <v>24</v>
      </c>
      <c r="B45" t="s">
        <v>15</v>
      </c>
      <c r="C45" t="s">
        <v>28</v>
      </c>
      <c r="D45">
        <v>9.99</v>
      </c>
      <c r="E45">
        <v>9.0411293512741899</v>
      </c>
      <c r="F45" s="50">
        <f t="shared" si="0"/>
        <v>9</v>
      </c>
      <c r="G45" t="s">
        <v>21</v>
      </c>
      <c r="H45">
        <f t="shared" si="1"/>
        <v>10</v>
      </c>
      <c r="I45">
        <f t="shared" si="2"/>
        <v>3.1622776601683795</v>
      </c>
      <c r="M45" t="str">
        <f t="shared" si="3"/>
        <v>Gif</v>
      </c>
      <c r="N45" t="str">
        <f t="shared" si="4"/>
        <v>es</v>
      </c>
      <c r="O45">
        <f t="shared" si="6"/>
        <v>22</v>
      </c>
      <c r="Q45" s="6">
        <v>38872</v>
      </c>
      <c r="R45" s="7" t="s">
        <v>57</v>
      </c>
      <c r="S45" s="7" t="s">
        <v>62</v>
      </c>
      <c r="T45" s="7" t="s">
        <v>66</v>
      </c>
      <c r="U45" s="7">
        <v>20</v>
      </c>
    </row>
    <row r="46" spans="1:22" x14ac:dyDescent="0.25">
      <c r="A46" t="s">
        <v>22</v>
      </c>
      <c r="B46" t="s">
        <v>15</v>
      </c>
      <c r="C46" t="s">
        <v>28</v>
      </c>
      <c r="D46">
        <v>8.7899999999999991</v>
      </c>
      <c r="E46">
        <v>8.1837265590230004</v>
      </c>
      <c r="F46" s="50">
        <f t="shared" si="0"/>
        <v>8.1999999999999993</v>
      </c>
      <c r="G46" t="s">
        <v>21</v>
      </c>
      <c r="H46">
        <f t="shared" si="1"/>
        <v>8.8000000000000007</v>
      </c>
      <c r="I46">
        <f t="shared" si="2"/>
        <v>2.9664793948382653</v>
      </c>
      <c r="M46" t="str">
        <f t="shared" si="3"/>
        <v>Gif</v>
      </c>
      <c r="N46" t="str">
        <f t="shared" si="4"/>
        <v>es</v>
      </c>
      <c r="O46">
        <f t="shared" si="6"/>
        <v>22</v>
      </c>
      <c r="Q46" s="6">
        <v>38873</v>
      </c>
      <c r="R46" s="7" t="s">
        <v>58</v>
      </c>
      <c r="S46" s="7" t="s">
        <v>61</v>
      </c>
      <c r="T46" s="7" t="s">
        <v>65</v>
      </c>
      <c r="U46" s="7">
        <v>40</v>
      </c>
    </row>
    <row r="47" spans="1:22" x14ac:dyDescent="0.25">
      <c r="A47" t="s">
        <v>14</v>
      </c>
      <c r="B47" t="s">
        <v>15</v>
      </c>
      <c r="C47" t="s">
        <v>29</v>
      </c>
      <c r="D47">
        <v>17.989999999999998</v>
      </c>
      <c r="E47">
        <v>15.4153836118493</v>
      </c>
      <c r="F47" s="50">
        <f t="shared" si="0"/>
        <v>15.4</v>
      </c>
      <c r="G47" t="s">
        <v>17</v>
      </c>
      <c r="H47">
        <f t="shared" si="1"/>
        <v>18</v>
      </c>
      <c r="I47">
        <f t="shared" si="2"/>
        <v>4.2426406871192848</v>
      </c>
      <c r="M47" t="str">
        <f t="shared" si="3"/>
        <v>Kni</v>
      </c>
      <c r="N47" t="str">
        <f t="shared" si="4"/>
        <v>et</v>
      </c>
      <c r="O47">
        <f t="shared" si="6"/>
        <v>18</v>
      </c>
      <c r="Q47" s="6">
        <v>38874</v>
      </c>
      <c r="R47" s="7" t="s">
        <v>57</v>
      </c>
      <c r="S47" s="7" t="s">
        <v>63</v>
      </c>
      <c r="T47" s="7" t="s">
        <v>64</v>
      </c>
      <c r="U47" s="7">
        <v>100</v>
      </c>
    </row>
    <row r="48" spans="1:22" x14ac:dyDescent="0.25">
      <c r="A48" t="s">
        <v>24</v>
      </c>
      <c r="B48" t="s">
        <v>15</v>
      </c>
      <c r="C48" t="s">
        <v>29</v>
      </c>
      <c r="D48">
        <v>10.95</v>
      </c>
      <c r="E48">
        <v>10.362149710096601</v>
      </c>
      <c r="F48" s="50">
        <f t="shared" si="0"/>
        <v>10.4</v>
      </c>
      <c r="G48" t="s">
        <v>17</v>
      </c>
      <c r="H48">
        <f t="shared" si="1"/>
        <v>11</v>
      </c>
      <c r="I48">
        <f t="shared" si="2"/>
        <v>3.3166247903553998</v>
      </c>
      <c r="M48" t="str">
        <f t="shared" si="3"/>
        <v>Kni</v>
      </c>
      <c r="N48" t="str">
        <f t="shared" si="4"/>
        <v>et</v>
      </c>
      <c r="O48">
        <f t="shared" si="6"/>
        <v>18</v>
      </c>
      <c r="Q48" s="6">
        <v>38875</v>
      </c>
      <c r="R48" s="7" t="s">
        <v>58</v>
      </c>
      <c r="S48" s="7" t="s">
        <v>60</v>
      </c>
      <c r="T48" s="7" t="s">
        <v>66</v>
      </c>
      <c r="U48" s="7">
        <v>30</v>
      </c>
    </row>
    <row r="49" spans="1:25" x14ac:dyDescent="0.25">
      <c r="A49" t="s">
        <v>14</v>
      </c>
      <c r="B49" t="s">
        <v>15</v>
      </c>
      <c r="C49" t="s">
        <v>29</v>
      </c>
      <c r="D49">
        <v>7.77</v>
      </c>
      <c r="E49">
        <v>6.8542673235616203</v>
      </c>
      <c r="F49" s="50">
        <f t="shared" si="0"/>
        <v>6.9</v>
      </c>
      <c r="G49" t="s">
        <v>17</v>
      </c>
      <c r="H49">
        <f t="shared" si="1"/>
        <v>7.8</v>
      </c>
      <c r="I49">
        <f t="shared" si="2"/>
        <v>2.7928480087537881</v>
      </c>
      <c r="M49" t="str">
        <f t="shared" si="3"/>
        <v>Kni</v>
      </c>
      <c r="N49" t="str">
        <f t="shared" si="4"/>
        <v>et</v>
      </c>
      <c r="O49">
        <f t="shared" si="6"/>
        <v>18</v>
      </c>
      <c r="T49" t="s">
        <v>67</v>
      </c>
      <c r="U49">
        <f>SUM(U42:U48)</f>
        <v>540</v>
      </c>
    </row>
    <row r="50" spans="1:25" x14ac:dyDescent="0.25">
      <c r="A50" t="s">
        <v>22</v>
      </c>
      <c r="B50" t="s">
        <v>15</v>
      </c>
      <c r="C50" t="s">
        <v>29</v>
      </c>
      <c r="D50">
        <v>4.12</v>
      </c>
      <c r="E50">
        <v>3.6765919848617798</v>
      </c>
      <c r="F50" s="50">
        <f t="shared" si="0"/>
        <v>3.7</v>
      </c>
      <c r="G50" t="s">
        <v>17</v>
      </c>
      <c r="H50">
        <f t="shared" si="1"/>
        <v>4.0999999999999996</v>
      </c>
      <c r="I50">
        <f t="shared" si="2"/>
        <v>2.0248456731316584</v>
      </c>
      <c r="M50" t="str">
        <f t="shared" si="3"/>
        <v>Kni</v>
      </c>
      <c r="N50" t="str">
        <f t="shared" si="4"/>
        <v>et</v>
      </c>
      <c r="O50">
        <f t="shared" si="6"/>
        <v>18</v>
      </c>
      <c r="S50" s="14" t="s">
        <v>74</v>
      </c>
      <c r="T50" s="14" t="s">
        <v>60</v>
      </c>
      <c r="U50" s="14">
        <f>SUMIF(S42:S48,"Red",U42:U48)</f>
        <v>330</v>
      </c>
    </row>
    <row r="51" spans="1:25" x14ac:dyDescent="0.25">
      <c r="A51" t="s">
        <v>22</v>
      </c>
      <c r="B51" t="s">
        <v>15</v>
      </c>
      <c r="C51" t="s">
        <v>29</v>
      </c>
      <c r="D51">
        <v>16.54</v>
      </c>
      <c r="E51">
        <v>15.308821983464</v>
      </c>
      <c r="F51" s="50">
        <f t="shared" si="0"/>
        <v>15.3</v>
      </c>
      <c r="G51" t="s">
        <v>17</v>
      </c>
      <c r="H51">
        <f t="shared" si="1"/>
        <v>16.5</v>
      </c>
      <c r="I51">
        <f t="shared" si="2"/>
        <v>4.0620192023179804</v>
      </c>
      <c r="M51" t="str">
        <f t="shared" si="3"/>
        <v>Kni</v>
      </c>
      <c r="N51" t="str">
        <f t="shared" si="4"/>
        <v>et</v>
      </c>
      <c r="O51">
        <f t="shared" si="6"/>
        <v>18</v>
      </c>
      <c r="S51" s="14" t="s">
        <v>75</v>
      </c>
      <c r="T51" s="14" t="s">
        <v>72</v>
      </c>
      <c r="U51" s="14">
        <f>SUMIFS(U42:U48,S42:S48,"Red",T42:T48,"Ap")</f>
        <v>300</v>
      </c>
    </row>
    <row r="52" spans="1:25" x14ac:dyDescent="0.25">
      <c r="F52" s="50"/>
      <c r="M52" t="str">
        <f t="shared" si="3"/>
        <v/>
      </c>
      <c r="N52" t="str">
        <f t="shared" si="4"/>
        <v/>
      </c>
      <c r="S52" s="14" t="s">
        <v>75</v>
      </c>
      <c r="T52" s="14" t="s">
        <v>73</v>
      </c>
      <c r="U52" s="14">
        <f>SUMIFS(U42:U48,S42:S48,"Red",T42:T48,"Ap",R42:R48,"Mouse")</f>
        <v>100</v>
      </c>
    </row>
    <row r="53" spans="1:25" x14ac:dyDescent="0.25">
      <c r="M53" t="str">
        <f>LEFT(B60,3)</f>
        <v/>
      </c>
      <c r="N53" t="str">
        <f>RIGHT(B60,2)</f>
        <v/>
      </c>
    </row>
    <row r="54" spans="1:25" x14ac:dyDescent="0.25">
      <c r="M54" t="str">
        <f>LEFT(B61,3)</f>
        <v/>
      </c>
      <c r="N54" t="str">
        <f>RIGHT(B61,2)</f>
        <v/>
      </c>
      <c r="S54" s="14"/>
      <c r="T54" s="14" t="s">
        <v>76</v>
      </c>
      <c r="U54" s="14">
        <f>AVERAGE(U42:U48)</f>
        <v>77.142857142857139</v>
      </c>
    </row>
    <row r="55" spans="1:25" x14ac:dyDescent="0.25">
      <c r="Q55" s="2"/>
      <c r="S55" s="14" t="s">
        <v>77</v>
      </c>
      <c r="T55" s="14" t="s">
        <v>60</v>
      </c>
      <c r="U55" s="14">
        <f>AVERAGEIF(S42:S48,"Red",U42:U48)</f>
        <v>110</v>
      </c>
    </row>
    <row r="56" spans="1:25" x14ac:dyDescent="0.25">
      <c r="Q56" s="2"/>
      <c r="S56" s="14" t="s">
        <v>78</v>
      </c>
      <c r="T56" s="14" t="s">
        <v>72</v>
      </c>
      <c r="U56" s="14">
        <f>AVERAGEIFS(U42:U48,S42:S48,"Red",T42:T48,"Ap")</f>
        <v>150</v>
      </c>
    </row>
    <row r="57" spans="1:25" x14ac:dyDescent="0.25">
      <c r="S57" s="14"/>
      <c r="T57" s="14" t="s">
        <v>73</v>
      </c>
      <c r="U57" s="14">
        <f>AVERAGEIFS(U42:U48,S42:S48,"Red",T42:T48,"Ap",R42:R48,"Mouse")</f>
        <v>100</v>
      </c>
    </row>
    <row r="58" spans="1:25" ht="18.75" x14ac:dyDescent="0.3">
      <c r="M58" s="3" t="s">
        <v>101</v>
      </c>
      <c r="N58" s="81"/>
    </row>
    <row r="59" spans="1:25" x14ac:dyDescent="0.25">
      <c r="K59" s="22" t="s">
        <v>90</v>
      </c>
      <c r="L59" s="22" t="s">
        <v>89</v>
      </c>
      <c r="M59" s="22" t="s">
        <v>91</v>
      </c>
      <c r="N59" s="22" t="s">
        <v>93</v>
      </c>
      <c r="O59" s="22" t="s">
        <v>92</v>
      </c>
    </row>
    <row r="60" spans="1:25" ht="30" customHeight="1" x14ac:dyDescent="0.35">
      <c r="C60" s="66" t="s">
        <v>79</v>
      </c>
      <c r="D60" s="81"/>
      <c r="K60" s="10">
        <v>25</v>
      </c>
      <c r="L60" s="10" t="str">
        <f t="shared" ref="L60:L68" si="7">IF(K60&gt;35,"pass","Fail")</f>
        <v>Fail</v>
      </c>
      <c r="M60" s="10">
        <v>25</v>
      </c>
      <c r="N60" s="10" t="str">
        <f t="shared" ref="N60:N68" si="8">IF(M60&gt;=60,"old",IF(M60&gt;30,"adult","child"))</f>
        <v>child</v>
      </c>
      <c r="O60" s="10" t="str">
        <f t="shared" ref="O60:O68" si="9">IF(M60&gt;80,"above 80",IF(M60&gt;60,"above 60",IF(M60&gt;50,"above 50","under 40")))</f>
        <v>under 40</v>
      </c>
    </row>
    <row r="61" spans="1:25" ht="24" x14ac:dyDescent="0.4">
      <c r="E61" s="50"/>
      <c r="K61" s="10">
        <v>30</v>
      </c>
      <c r="L61" s="10" t="str">
        <f t="shared" si="7"/>
        <v>Fail</v>
      </c>
      <c r="M61" s="10">
        <v>30</v>
      </c>
      <c r="N61" s="10" t="str">
        <f t="shared" si="8"/>
        <v>child</v>
      </c>
      <c r="O61" s="10" t="str">
        <f t="shared" si="9"/>
        <v>under 40</v>
      </c>
      <c r="T61" s="88" t="s">
        <v>126</v>
      </c>
      <c r="U61" s="88"/>
      <c r="V61" s="88"/>
      <c r="W61" s="88"/>
      <c r="X61" s="88"/>
      <c r="Y61" s="88"/>
    </row>
    <row r="62" spans="1:25" x14ac:dyDescent="0.25">
      <c r="A62" s="15" t="s">
        <v>80</v>
      </c>
      <c r="B62" t="s">
        <v>81</v>
      </c>
      <c r="C62">
        <f>VLOOKUP(R42,R42:U48,4,0)</f>
        <v>100</v>
      </c>
      <c r="K62" s="10">
        <v>65</v>
      </c>
      <c r="L62" s="10" t="str">
        <f t="shared" si="7"/>
        <v>pass</v>
      </c>
      <c r="M62" s="10">
        <v>65</v>
      </c>
      <c r="N62" s="10" t="str">
        <f t="shared" si="8"/>
        <v>old</v>
      </c>
      <c r="O62" s="10" t="str">
        <f t="shared" si="9"/>
        <v>above 60</v>
      </c>
    </row>
    <row r="63" spans="1:25" x14ac:dyDescent="0.25">
      <c r="B63" t="s">
        <v>82</v>
      </c>
      <c r="C63">
        <f>VLOOKUP(S43,S42:U48,3,0)</f>
        <v>50</v>
      </c>
      <c r="K63" s="10">
        <v>15</v>
      </c>
      <c r="L63" s="10" t="str">
        <f t="shared" si="7"/>
        <v>Fail</v>
      </c>
      <c r="M63" s="10">
        <v>15</v>
      </c>
      <c r="N63" s="10" t="str">
        <f t="shared" si="8"/>
        <v>child</v>
      </c>
      <c r="O63" s="10" t="str">
        <f t="shared" si="9"/>
        <v>under 40</v>
      </c>
      <c r="T63" s="34" t="s">
        <v>127</v>
      </c>
      <c r="U63" s="34" t="s">
        <v>128</v>
      </c>
      <c r="V63" s="34" t="s">
        <v>129</v>
      </c>
      <c r="W63" s="35" t="s">
        <v>130</v>
      </c>
      <c r="X63" s="34" t="s">
        <v>131</v>
      </c>
      <c r="Y63" s="36" t="s">
        <v>67</v>
      </c>
    </row>
    <row r="64" spans="1:25" x14ac:dyDescent="0.25">
      <c r="K64" s="10">
        <v>20</v>
      </c>
      <c r="L64" s="10" t="str">
        <f t="shared" si="7"/>
        <v>Fail</v>
      </c>
      <c r="M64" s="10">
        <v>35</v>
      </c>
      <c r="N64" s="10" t="str">
        <f t="shared" si="8"/>
        <v>adult</v>
      </c>
      <c r="O64" s="10" t="str">
        <f t="shared" si="9"/>
        <v>under 40</v>
      </c>
      <c r="T64" s="37">
        <v>101</v>
      </c>
      <c r="U64" s="38">
        <v>38809</v>
      </c>
      <c r="V64" s="39" t="s">
        <v>132</v>
      </c>
      <c r="W64" s="40" t="s">
        <v>133</v>
      </c>
      <c r="X64" s="41">
        <v>40</v>
      </c>
      <c r="Y64" s="42">
        <v>234.76</v>
      </c>
    </row>
    <row r="65" spans="1:25" ht="15.75" x14ac:dyDescent="0.25">
      <c r="C65" s="67" t="s">
        <v>83</v>
      </c>
      <c r="K65" s="10">
        <v>29</v>
      </c>
      <c r="L65" s="10" t="str">
        <f t="shared" si="7"/>
        <v>Fail</v>
      </c>
      <c r="M65" s="10">
        <v>29</v>
      </c>
      <c r="N65" s="10" t="str">
        <f t="shared" si="8"/>
        <v>child</v>
      </c>
      <c r="O65" s="10" t="str">
        <f t="shared" si="9"/>
        <v>under 40</v>
      </c>
      <c r="T65" s="37">
        <v>102</v>
      </c>
      <c r="U65" s="38">
        <v>38872</v>
      </c>
      <c r="V65" s="39" t="s">
        <v>134</v>
      </c>
      <c r="W65" s="40">
        <v>46202</v>
      </c>
      <c r="X65" s="41">
        <v>200</v>
      </c>
      <c r="Y65" s="42">
        <v>335.9</v>
      </c>
    </row>
    <row r="66" spans="1:25" x14ac:dyDescent="0.25">
      <c r="A66" s="5" t="s">
        <v>52</v>
      </c>
      <c r="B66" s="6">
        <v>38869</v>
      </c>
      <c r="C66" s="6">
        <v>38870</v>
      </c>
      <c r="D66" s="6">
        <v>38871</v>
      </c>
      <c r="E66" s="6">
        <v>38872</v>
      </c>
      <c r="F66" s="6">
        <v>38873</v>
      </c>
      <c r="G66" s="6">
        <v>38874</v>
      </c>
      <c r="H66" s="6">
        <v>38875</v>
      </c>
      <c r="K66" s="10">
        <v>30</v>
      </c>
      <c r="L66" s="10" t="str">
        <f t="shared" si="7"/>
        <v>Fail</v>
      </c>
      <c r="M66" s="10">
        <v>30</v>
      </c>
      <c r="N66" s="10" t="str">
        <f t="shared" si="8"/>
        <v>child</v>
      </c>
      <c r="O66" s="10" t="str">
        <f t="shared" si="9"/>
        <v>under 40</v>
      </c>
      <c r="T66" s="37">
        <v>103</v>
      </c>
      <c r="U66" s="38">
        <v>38935</v>
      </c>
      <c r="V66" s="39" t="s">
        <v>135</v>
      </c>
      <c r="W66" s="40" t="s">
        <v>136</v>
      </c>
      <c r="X66" s="41">
        <v>150</v>
      </c>
      <c r="Y66" s="42">
        <v>437.04</v>
      </c>
    </row>
    <row r="67" spans="1:25" x14ac:dyDescent="0.25">
      <c r="A67" s="5" t="s">
        <v>55</v>
      </c>
      <c r="B67" s="7" t="s">
        <v>57</v>
      </c>
      <c r="C67" s="7" t="s">
        <v>58</v>
      </c>
      <c r="D67" s="7" t="s">
        <v>59</v>
      </c>
      <c r="E67" s="7" t="s">
        <v>57</v>
      </c>
      <c r="F67" s="7" t="s">
        <v>58</v>
      </c>
      <c r="G67" s="7" t="s">
        <v>57</v>
      </c>
      <c r="H67" s="7" t="s">
        <v>58</v>
      </c>
      <c r="K67" s="10">
        <v>81</v>
      </c>
      <c r="L67" s="10" t="str">
        <f t="shared" si="7"/>
        <v>pass</v>
      </c>
      <c r="M67" s="10">
        <v>81</v>
      </c>
      <c r="N67" s="10" t="str">
        <f t="shared" si="8"/>
        <v>old</v>
      </c>
      <c r="O67" s="10" t="str">
        <f t="shared" si="9"/>
        <v>above 80</v>
      </c>
      <c r="T67" s="37">
        <v>104</v>
      </c>
      <c r="U67" s="38">
        <v>38998</v>
      </c>
      <c r="V67" s="39" t="s">
        <v>137</v>
      </c>
      <c r="W67" s="40">
        <v>46203</v>
      </c>
      <c r="X67" s="41">
        <v>650</v>
      </c>
      <c r="Y67" s="42">
        <v>538.17999999999995</v>
      </c>
    </row>
    <row r="68" spans="1:25" x14ac:dyDescent="0.25">
      <c r="A68" s="5" t="s">
        <v>53</v>
      </c>
      <c r="B68" s="7" t="s">
        <v>60</v>
      </c>
      <c r="C68" s="7" t="s">
        <v>61</v>
      </c>
      <c r="D68" s="7" t="s">
        <v>60</v>
      </c>
      <c r="E68" s="7" t="s">
        <v>62</v>
      </c>
      <c r="F68" s="7" t="s">
        <v>61</v>
      </c>
      <c r="G68" s="7" t="s">
        <v>63</v>
      </c>
      <c r="H68" s="7" t="s">
        <v>60</v>
      </c>
      <c r="K68" s="10">
        <v>65</v>
      </c>
      <c r="L68" s="10" t="str">
        <f t="shared" si="7"/>
        <v>pass</v>
      </c>
      <c r="M68" s="10">
        <v>65</v>
      </c>
      <c r="N68" s="10" t="str">
        <f t="shared" si="8"/>
        <v>old</v>
      </c>
      <c r="O68" s="10" t="str">
        <f t="shared" si="9"/>
        <v>above 60</v>
      </c>
      <c r="T68" s="37">
        <v>105</v>
      </c>
      <c r="U68" s="38">
        <v>39061</v>
      </c>
      <c r="V68" s="39" t="s">
        <v>138</v>
      </c>
      <c r="W68" s="40" t="s">
        <v>139</v>
      </c>
      <c r="X68" s="41">
        <v>125</v>
      </c>
      <c r="Y68" s="42">
        <v>639.32000000000005</v>
      </c>
    </row>
    <row r="69" spans="1:25" x14ac:dyDescent="0.25">
      <c r="A69" s="5" t="s">
        <v>54</v>
      </c>
      <c r="B69" s="7" t="s">
        <v>64</v>
      </c>
      <c r="C69" s="7" t="s">
        <v>65</v>
      </c>
      <c r="D69" s="7" t="s">
        <v>64</v>
      </c>
      <c r="E69" s="7" t="s">
        <v>66</v>
      </c>
      <c r="F69" s="7" t="s">
        <v>65</v>
      </c>
      <c r="G69" s="7" t="s">
        <v>64</v>
      </c>
      <c r="H69" s="7" t="s">
        <v>66</v>
      </c>
      <c r="T69" s="37">
        <v>106</v>
      </c>
      <c r="U69" s="38">
        <v>39124</v>
      </c>
      <c r="V69" s="39" t="s">
        <v>140</v>
      </c>
      <c r="W69" s="40">
        <v>46204</v>
      </c>
      <c r="X69" s="41">
        <v>325</v>
      </c>
      <c r="Y69" s="42">
        <v>740.46</v>
      </c>
    </row>
    <row r="70" spans="1:25" x14ac:dyDescent="0.25">
      <c r="A70" s="5" t="s">
        <v>56</v>
      </c>
      <c r="B70" s="7">
        <v>100</v>
      </c>
      <c r="C70" s="7">
        <v>50</v>
      </c>
      <c r="D70" s="7">
        <v>200</v>
      </c>
      <c r="E70" s="7">
        <v>20</v>
      </c>
      <c r="F70" s="7">
        <v>40</v>
      </c>
      <c r="G70" s="7">
        <v>100</v>
      </c>
      <c r="H70" s="7">
        <v>30</v>
      </c>
      <c r="T70" s="37">
        <v>107</v>
      </c>
      <c r="U70" s="38">
        <v>39187</v>
      </c>
      <c r="V70" s="39" t="s">
        <v>141</v>
      </c>
      <c r="W70" s="40" t="s">
        <v>142</v>
      </c>
      <c r="X70" s="41">
        <v>780</v>
      </c>
      <c r="Y70" s="42">
        <v>841.6</v>
      </c>
    </row>
    <row r="71" spans="1:25" ht="18.75" x14ac:dyDescent="0.3">
      <c r="M71" s="24" t="s">
        <v>94</v>
      </c>
      <c r="N71" s="81"/>
      <c r="T71" s="37">
        <v>108</v>
      </c>
      <c r="U71" s="38">
        <v>39250</v>
      </c>
      <c r="V71" s="39" t="s">
        <v>143</v>
      </c>
      <c r="W71" s="40">
        <v>46205</v>
      </c>
      <c r="X71" s="41">
        <v>140</v>
      </c>
      <c r="Y71" s="42">
        <v>942.74</v>
      </c>
    </row>
    <row r="72" spans="1:25" x14ac:dyDescent="0.25">
      <c r="A72" s="15" t="s">
        <v>83</v>
      </c>
      <c r="B72" t="s">
        <v>58</v>
      </c>
      <c r="C72">
        <f>HLOOKUP(C67,B67:H70,4,0)</f>
        <v>50</v>
      </c>
      <c r="T72" s="37">
        <v>109</v>
      </c>
      <c r="U72" s="38">
        <v>39313</v>
      </c>
      <c r="V72" s="39" t="s">
        <v>144</v>
      </c>
      <c r="W72" s="40" t="s">
        <v>145</v>
      </c>
      <c r="X72" s="41">
        <v>89</v>
      </c>
      <c r="Y72" s="42">
        <v>1043.8800000000001</v>
      </c>
    </row>
    <row r="73" spans="1:25" x14ac:dyDescent="0.25">
      <c r="B73" t="s">
        <v>59</v>
      </c>
      <c r="C73">
        <f>HLOOKUP(D67,B67:H70,4,0)</f>
        <v>200</v>
      </c>
      <c r="K73" s="19" t="s">
        <v>95</v>
      </c>
      <c r="L73" s="20" t="s">
        <v>96</v>
      </c>
      <c r="M73" s="20" t="s">
        <v>97</v>
      </c>
      <c r="N73" s="20" t="s">
        <v>100</v>
      </c>
      <c r="O73" s="20" t="s">
        <v>98</v>
      </c>
      <c r="P73" s="21" t="s">
        <v>99</v>
      </c>
      <c r="Q73" s="20" t="s">
        <v>102</v>
      </c>
      <c r="R73" s="20" t="s">
        <v>103</v>
      </c>
      <c r="T73" s="37">
        <v>110</v>
      </c>
      <c r="U73" s="38">
        <v>39376</v>
      </c>
      <c r="V73" s="39" t="s">
        <v>146</v>
      </c>
      <c r="W73" s="40">
        <v>46206</v>
      </c>
      <c r="X73" s="41">
        <v>320</v>
      </c>
      <c r="Y73" s="42">
        <v>1145.02</v>
      </c>
    </row>
    <row r="74" spans="1:25" x14ac:dyDescent="0.25">
      <c r="K74" s="12">
        <v>80</v>
      </c>
      <c r="L74" s="10">
        <v>25</v>
      </c>
      <c r="M74" s="10" t="b">
        <f>AND(K74&gt;30,L74&gt;30)</f>
        <v>0</v>
      </c>
      <c r="N74" s="10" t="b">
        <f>OR(K74&gt;30,L74&gt;30)</f>
        <v>1</v>
      </c>
      <c r="O74" s="10" t="str">
        <f>IF(M74,"pass","fail")</f>
        <v>fail</v>
      </c>
      <c r="P74" s="11" t="str">
        <f>IF(N74,"pass","fail")</f>
        <v>pass</v>
      </c>
      <c r="Q74" s="16" t="b">
        <f>_xlfn.XOR(Table1[[#This Row],[maths]]&gt;30,Table1[[#This Row],[science]]&gt;30)</f>
        <v>1</v>
      </c>
      <c r="R74" s="16" t="b">
        <f>NOT(Table1[[#This Row],[AND]])</f>
        <v>1</v>
      </c>
      <c r="T74" s="37">
        <v>111</v>
      </c>
      <c r="U74" s="38">
        <v>39439</v>
      </c>
      <c r="V74" s="39" t="s">
        <v>147</v>
      </c>
      <c r="W74" s="40" t="s">
        <v>148</v>
      </c>
      <c r="X74" s="41">
        <v>400</v>
      </c>
      <c r="Y74" s="42">
        <v>1246.1600000000001</v>
      </c>
    </row>
    <row r="75" spans="1:25" x14ac:dyDescent="0.25">
      <c r="A75" s="15" t="s">
        <v>84</v>
      </c>
      <c r="B75" t="s">
        <v>85</v>
      </c>
      <c r="C75" t="e">
        <f>MATCH(B75,B68:H68)</f>
        <v>#N/A</v>
      </c>
      <c r="K75" s="12">
        <v>30</v>
      </c>
      <c r="L75" s="10">
        <v>60</v>
      </c>
      <c r="M75" s="10" t="b">
        <f t="shared" ref="M75:M80" si="10">AND(K75&gt;30,L75&gt;30)</f>
        <v>0</v>
      </c>
      <c r="N75" s="10" t="b">
        <f t="shared" ref="N75:N80" si="11">OR(K75&gt;30,L75&gt;30)</f>
        <v>1</v>
      </c>
      <c r="O75" s="10" t="str">
        <f t="shared" ref="O75:O80" si="12">IF(M75,"pass","fail")</f>
        <v>fail</v>
      </c>
      <c r="P75" s="11" t="str">
        <f t="shared" ref="P75:P80" si="13">IF(N75,"pass","fail")</f>
        <v>pass</v>
      </c>
      <c r="Q75" s="10" t="b">
        <f>_xlfn.XOR(Table1[[#This Row],[maths]]&gt;30,Table1[[#This Row],[science]]&gt;30)</f>
        <v>1</v>
      </c>
      <c r="R75" s="10" t="b">
        <f>NOT(Table1[[#This Row],[AND]])</f>
        <v>1</v>
      </c>
      <c r="T75" s="37">
        <v>112</v>
      </c>
      <c r="U75" s="38">
        <v>39502</v>
      </c>
      <c r="V75" s="39" t="s">
        <v>149</v>
      </c>
      <c r="W75" s="40">
        <v>46207</v>
      </c>
      <c r="X75" s="41">
        <v>800</v>
      </c>
      <c r="Y75" s="42">
        <v>1347.3</v>
      </c>
    </row>
    <row r="76" spans="1:25" x14ac:dyDescent="0.25">
      <c r="B76" t="s">
        <v>86</v>
      </c>
      <c r="C76">
        <f>MATCH(B76,B68:H68)</f>
        <v>4</v>
      </c>
      <c r="K76" s="12">
        <v>40</v>
      </c>
      <c r="L76" s="10">
        <v>85</v>
      </c>
      <c r="M76" s="10" t="b">
        <f t="shared" si="10"/>
        <v>1</v>
      </c>
      <c r="N76" s="10" t="b">
        <f t="shared" si="11"/>
        <v>1</v>
      </c>
      <c r="O76" s="10" t="str">
        <f t="shared" si="12"/>
        <v>pass</v>
      </c>
      <c r="P76" s="11" t="str">
        <f t="shared" si="13"/>
        <v>pass</v>
      </c>
      <c r="Q76" s="10" t="b">
        <f>_xlfn.XOR(Table1[[#This Row],[maths]]&gt;30,Table1[[#This Row],[science]]&gt;30)</f>
        <v>0</v>
      </c>
      <c r="R76" s="10" t="b">
        <f>NOT(Table1[[#This Row],[AND]])</f>
        <v>0</v>
      </c>
      <c r="T76" s="37">
        <v>113</v>
      </c>
      <c r="U76" s="38">
        <v>39565</v>
      </c>
      <c r="V76" s="39" t="s">
        <v>150</v>
      </c>
      <c r="W76" s="40" t="s">
        <v>151</v>
      </c>
      <c r="X76" s="41">
        <v>690</v>
      </c>
      <c r="Y76" s="42">
        <v>1448.44</v>
      </c>
    </row>
    <row r="77" spans="1:25" x14ac:dyDescent="0.25">
      <c r="K77" s="12">
        <v>25</v>
      </c>
      <c r="L77" s="10">
        <v>40</v>
      </c>
      <c r="M77" s="10" t="b">
        <f t="shared" si="10"/>
        <v>0</v>
      </c>
      <c r="N77" s="10" t="b">
        <f t="shared" si="11"/>
        <v>1</v>
      </c>
      <c r="O77" s="10" t="str">
        <f t="shared" si="12"/>
        <v>fail</v>
      </c>
      <c r="P77" s="11" t="str">
        <f t="shared" si="13"/>
        <v>pass</v>
      </c>
      <c r="Q77" s="10" t="b">
        <f>_xlfn.XOR(Table1[[#This Row],[maths]]&gt;30,Table1[[#This Row],[science]]&gt;30)</f>
        <v>1</v>
      </c>
      <c r="R77" s="10" t="b">
        <f>NOT(Table1[[#This Row],[AND]])</f>
        <v>1</v>
      </c>
      <c r="T77" s="37">
        <v>114</v>
      </c>
      <c r="U77" s="38">
        <v>39628</v>
      </c>
      <c r="V77" s="39" t="s">
        <v>152</v>
      </c>
      <c r="W77" s="40">
        <v>46208</v>
      </c>
      <c r="X77" s="41">
        <v>720</v>
      </c>
      <c r="Y77" s="42">
        <v>1549.58</v>
      </c>
    </row>
    <row r="78" spans="1:25" x14ac:dyDescent="0.25">
      <c r="A78" s="15" t="s">
        <v>87</v>
      </c>
      <c r="B78" t="str">
        <f>INDEX(B68:H68,2)</f>
        <v>Blue</v>
      </c>
      <c r="K78" s="12">
        <v>15</v>
      </c>
      <c r="L78" s="10">
        <v>15</v>
      </c>
      <c r="M78" s="10" t="b">
        <f t="shared" si="10"/>
        <v>0</v>
      </c>
      <c r="N78" s="10" t="b">
        <f t="shared" si="11"/>
        <v>0</v>
      </c>
      <c r="O78" s="10" t="str">
        <f t="shared" si="12"/>
        <v>fail</v>
      </c>
      <c r="P78" s="11" t="str">
        <f t="shared" si="13"/>
        <v>fail</v>
      </c>
      <c r="Q78" s="10" t="b">
        <f>_xlfn.XOR(Table1[[#This Row],[maths]]&gt;30,Table1[[#This Row],[science]]&gt;30)</f>
        <v>0</v>
      </c>
      <c r="R78" s="10" t="b">
        <f>NOT(Table1[[#This Row],[AND]])</f>
        <v>1</v>
      </c>
      <c r="T78" s="37">
        <v>115</v>
      </c>
      <c r="U78" s="38">
        <v>39691</v>
      </c>
      <c r="V78" s="39" t="s">
        <v>153</v>
      </c>
      <c r="W78" s="40" t="s">
        <v>154</v>
      </c>
      <c r="X78" s="41">
        <v>258</v>
      </c>
      <c r="Y78" s="42">
        <v>1650.72</v>
      </c>
    </row>
    <row r="79" spans="1:25" x14ac:dyDescent="0.25">
      <c r="B79" t="str">
        <f>INDEX(B67:H67,3)</f>
        <v>monitor</v>
      </c>
      <c r="K79" s="12">
        <v>91</v>
      </c>
      <c r="L79" s="10">
        <v>50</v>
      </c>
      <c r="M79" s="10" t="b">
        <f t="shared" si="10"/>
        <v>1</v>
      </c>
      <c r="N79" s="10" t="b">
        <f t="shared" si="11"/>
        <v>1</v>
      </c>
      <c r="O79" s="10" t="str">
        <f t="shared" si="12"/>
        <v>pass</v>
      </c>
      <c r="P79" s="11" t="str">
        <f t="shared" si="13"/>
        <v>pass</v>
      </c>
      <c r="Q79" s="10" t="b">
        <f>_xlfn.XOR(Table1[[#This Row],[maths]]&gt;30,Table1[[#This Row],[science]]&gt;30)</f>
        <v>0</v>
      </c>
      <c r="R79" s="10" t="b">
        <f>NOT(Table1[[#This Row],[AND]])</f>
        <v>0</v>
      </c>
      <c r="T79" s="37">
        <v>116</v>
      </c>
      <c r="U79" s="38">
        <v>39754</v>
      </c>
      <c r="V79" s="39" t="s">
        <v>155</v>
      </c>
      <c r="W79" s="40">
        <v>46209</v>
      </c>
      <c r="X79" s="41">
        <v>741</v>
      </c>
      <c r="Y79" s="42">
        <v>1751.86</v>
      </c>
    </row>
    <row r="80" spans="1:25" x14ac:dyDescent="0.25">
      <c r="B80">
        <f>INDEX(B70:H70,5)</f>
        <v>40</v>
      </c>
      <c r="K80" s="17">
        <v>15</v>
      </c>
      <c r="L80" s="13">
        <v>90</v>
      </c>
      <c r="M80" s="13" t="b">
        <f t="shared" si="10"/>
        <v>0</v>
      </c>
      <c r="N80" s="13" t="b">
        <f t="shared" si="11"/>
        <v>1</v>
      </c>
      <c r="O80" s="13" t="str">
        <f t="shared" si="12"/>
        <v>fail</v>
      </c>
      <c r="P80" s="18" t="str">
        <f t="shared" si="13"/>
        <v>pass</v>
      </c>
      <c r="Q80" s="13" t="b">
        <f>_xlfn.XOR(Table1[[#This Row],[maths]]&gt;30,Table1[[#This Row],[science]]&gt;30)</f>
        <v>1</v>
      </c>
      <c r="R80" s="13" t="b">
        <f>NOT(Table1[[#This Row],[AND]])</f>
        <v>1</v>
      </c>
      <c r="T80" s="37">
        <v>117</v>
      </c>
      <c r="U80" s="38">
        <v>39817</v>
      </c>
      <c r="V80" s="39" t="s">
        <v>156</v>
      </c>
      <c r="W80" s="40" t="s">
        <v>157</v>
      </c>
      <c r="X80" s="41">
        <v>369</v>
      </c>
      <c r="Y80" s="42">
        <v>1853</v>
      </c>
    </row>
    <row r="81" spans="1:26" x14ac:dyDescent="0.25">
      <c r="T81" s="37">
        <v>118</v>
      </c>
      <c r="U81" s="38">
        <v>39880</v>
      </c>
      <c r="V81" s="39" t="s">
        <v>158</v>
      </c>
      <c r="W81" s="40">
        <v>46210</v>
      </c>
      <c r="X81" s="41">
        <v>753</v>
      </c>
      <c r="Y81" s="42">
        <v>1954.14</v>
      </c>
    </row>
    <row r="82" spans="1:26" ht="18.75" x14ac:dyDescent="0.3">
      <c r="A82" s="15" t="s">
        <v>88</v>
      </c>
      <c r="B82" t="s">
        <v>58</v>
      </c>
      <c r="C82">
        <f>_xlfn.XLOOKUP(C67,B67:H67,B70:H70)</f>
        <v>50</v>
      </c>
      <c r="L82" s="24" t="s">
        <v>104</v>
      </c>
      <c r="O82" s="84" t="s">
        <v>117</v>
      </c>
      <c r="T82" s="37">
        <v>119</v>
      </c>
      <c r="U82" s="38">
        <v>39943</v>
      </c>
      <c r="V82" s="39" t="s">
        <v>159</v>
      </c>
      <c r="W82" s="40" t="s">
        <v>160</v>
      </c>
      <c r="X82" s="41">
        <v>325</v>
      </c>
      <c r="Y82" s="42">
        <v>2055.2800000000002</v>
      </c>
    </row>
    <row r="83" spans="1:26" x14ac:dyDescent="0.25">
      <c r="B83" t="s">
        <v>60</v>
      </c>
      <c r="C83">
        <f>_xlfn.XLOOKUP(D68,B68:H68,B70:H70)</f>
        <v>100</v>
      </c>
      <c r="T83" s="37">
        <v>120</v>
      </c>
      <c r="U83" s="38">
        <v>40006</v>
      </c>
      <c r="V83" s="39" t="s">
        <v>161</v>
      </c>
      <c r="W83" s="40">
        <v>46211</v>
      </c>
      <c r="X83" s="41">
        <v>862</v>
      </c>
      <c r="Y83" s="42">
        <v>2156.42</v>
      </c>
    </row>
    <row r="84" spans="1:26" x14ac:dyDescent="0.25">
      <c r="E84" s="50"/>
      <c r="L84" s="23" t="s">
        <v>105</v>
      </c>
      <c r="M84" s="10">
        <f>COUNT(D:D)</f>
        <v>109</v>
      </c>
      <c r="O84" s="10" t="s">
        <v>30</v>
      </c>
      <c r="P84" s="10">
        <v>1</v>
      </c>
    </row>
    <row r="85" spans="1:26" x14ac:dyDescent="0.25">
      <c r="F85" s="50"/>
      <c r="L85" s="23" t="s">
        <v>106</v>
      </c>
      <c r="M85" s="10">
        <f>COUNTIF(G:G,"Cash")</f>
        <v>30</v>
      </c>
      <c r="O85" s="10" t="s">
        <v>30</v>
      </c>
      <c r="P85" s="10">
        <v>1</v>
      </c>
    </row>
    <row r="86" spans="1:26" x14ac:dyDescent="0.25">
      <c r="F86" s="50"/>
      <c r="L86" s="23" t="s">
        <v>107</v>
      </c>
      <c r="M86" s="10">
        <f>COUNTIFS(C:C,"Printmaking",G:G,"Cash")</f>
        <v>0</v>
      </c>
      <c r="O86" s="10" t="s">
        <v>14</v>
      </c>
      <c r="P86" s="10">
        <v>3</v>
      </c>
    </row>
    <row r="87" spans="1:26" ht="18.75" x14ac:dyDescent="0.3">
      <c r="C87" s="3" t="s">
        <v>119</v>
      </c>
      <c r="F87" s="50"/>
      <c r="L87" s="23" t="s">
        <v>108</v>
      </c>
      <c r="M87" s="10">
        <f>COUNTBLANK(B:B)</f>
        <v>1048426</v>
      </c>
      <c r="O87" s="10" t="s">
        <v>14</v>
      </c>
      <c r="P87" s="10">
        <v>3</v>
      </c>
      <c r="U87" s="81"/>
      <c r="V87" s="64" t="s">
        <v>162</v>
      </c>
      <c r="W87" s="81"/>
    </row>
    <row r="88" spans="1:26" x14ac:dyDescent="0.25">
      <c r="F88" s="50"/>
      <c r="L88" s="23" t="s">
        <v>109</v>
      </c>
      <c r="M88" s="10">
        <f>COUNTA(B:B)</f>
        <v>150</v>
      </c>
      <c r="O88" s="10" t="s">
        <v>31</v>
      </c>
      <c r="P88" s="10">
        <v>2</v>
      </c>
      <c r="T88" s="55" t="s">
        <v>163</v>
      </c>
      <c r="U88" s="55" t="s">
        <v>164</v>
      </c>
      <c r="V88" s="56" t="s">
        <v>165</v>
      </c>
      <c r="W88" s="55" t="s">
        <v>166</v>
      </c>
      <c r="X88" s="55" t="s">
        <v>167</v>
      </c>
      <c r="Y88" s="55" t="s">
        <v>168</v>
      </c>
      <c r="Z88" s="55" t="s">
        <v>169</v>
      </c>
    </row>
    <row r="89" spans="1:26" ht="18.75" x14ac:dyDescent="0.3">
      <c r="B89" s="25" t="s">
        <v>125</v>
      </c>
      <c r="C89" s="26" t="s">
        <v>120</v>
      </c>
      <c r="D89" s="27" t="s">
        <v>121</v>
      </c>
      <c r="F89" s="50"/>
      <c r="L89" s="23" t="s">
        <v>110</v>
      </c>
      <c r="M89" s="10">
        <f>AVERAGE(Table1[[#All],[science]])</f>
        <v>52.142857142857146</v>
      </c>
      <c r="O89" s="10" t="s">
        <v>31</v>
      </c>
      <c r="P89" s="10">
        <v>2</v>
      </c>
      <c r="T89">
        <v>0.9</v>
      </c>
      <c r="U89" s="43">
        <v>0.9</v>
      </c>
      <c r="V89" s="44">
        <v>0.9</v>
      </c>
      <c r="W89" s="45">
        <v>0.9</v>
      </c>
      <c r="X89" s="46">
        <v>0.9</v>
      </c>
      <c r="Y89" s="47">
        <v>0.9</v>
      </c>
      <c r="Z89" s="48">
        <v>0.9</v>
      </c>
    </row>
    <row r="90" spans="1:26" ht="34.5" customHeight="1" x14ac:dyDescent="0.25">
      <c r="B90" s="28" t="s">
        <v>122</v>
      </c>
      <c r="C90" s="29"/>
      <c r="D90" s="30">
        <v>1400000</v>
      </c>
      <c r="F90" s="50"/>
      <c r="L90" s="23" t="s">
        <v>18</v>
      </c>
      <c r="M90" s="10">
        <f>MEDIAN(Table1[science])</f>
        <v>50</v>
      </c>
      <c r="O90" s="10" t="s">
        <v>31</v>
      </c>
      <c r="P90" s="10">
        <v>2</v>
      </c>
      <c r="T90">
        <v>-5.3449999999999998</v>
      </c>
      <c r="U90" s="43">
        <v>-5.3449999999999998</v>
      </c>
      <c r="V90" s="44">
        <v>-5.3449999999999998</v>
      </c>
      <c r="W90" s="45">
        <v>-5.3449999999999998</v>
      </c>
      <c r="X90" s="46">
        <v>-5.3449999999999998</v>
      </c>
      <c r="Y90" s="47">
        <v>-5.3449999999999998</v>
      </c>
      <c r="Z90" s="48">
        <v>-5.3449999999999998</v>
      </c>
    </row>
    <row r="91" spans="1:26" ht="42.75" customHeight="1" x14ac:dyDescent="0.25">
      <c r="B91" s="28" t="s">
        <v>123</v>
      </c>
      <c r="C91" s="29"/>
      <c r="D91" s="30">
        <v>1500000</v>
      </c>
      <c r="F91" s="50"/>
      <c r="L91" s="23" t="s">
        <v>111</v>
      </c>
      <c r="M91" s="10" t="e">
        <f>MODE(Table1[science])</f>
        <v>#N/A</v>
      </c>
      <c r="O91" s="10" t="s">
        <v>16</v>
      </c>
      <c r="P91" s="10">
        <v>5</v>
      </c>
      <c r="T91">
        <v>0</v>
      </c>
      <c r="U91" s="43">
        <v>0</v>
      </c>
      <c r="V91" s="44">
        <v>0</v>
      </c>
      <c r="W91" s="45">
        <v>0</v>
      </c>
      <c r="X91" s="46">
        <v>0</v>
      </c>
      <c r="Y91" s="47">
        <v>0</v>
      </c>
      <c r="Z91" s="48">
        <v>0</v>
      </c>
    </row>
    <row r="92" spans="1:26" ht="39.75" customHeight="1" x14ac:dyDescent="0.25">
      <c r="B92" s="31" t="s">
        <v>124</v>
      </c>
      <c r="C92" s="32"/>
      <c r="D92" s="33">
        <v>1200000</v>
      </c>
      <c r="F92" s="50"/>
      <c r="L92" s="23" t="s">
        <v>112</v>
      </c>
      <c r="M92" s="10">
        <f>_xlfn.STDEV.P(Table1[science])</f>
        <v>26.302789485031386</v>
      </c>
      <c r="O92" s="10" t="s">
        <v>32</v>
      </c>
      <c r="P92" s="10">
        <v>6</v>
      </c>
      <c r="T92">
        <v>345</v>
      </c>
      <c r="U92" s="43">
        <v>345</v>
      </c>
      <c r="V92" s="44">
        <v>345</v>
      </c>
      <c r="W92" s="45">
        <v>345</v>
      </c>
      <c r="X92" s="46">
        <v>345</v>
      </c>
      <c r="Y92" s="47">
        <v>345</v>
      </c>
      <c r="Z92" s="48">
        <v>345</v>
      </c>
    </row>
    <row r="93" spans="1:26" x14ac:dyDescent="0.25">
      <c r="F93" s="50"/>
      <c r="L93" s="23" t="s">
        <v>113</v>
      </c>
      <c r="M93" s="10">
        <f>_xlfn.STDEV.S(Table1[science])</f>
        <v>28.410259716216199</v>
      </c>
      <c r="N93" t="str">
        <f t="shared" ref="N93:N98" si="14">RIGHT(C93,2)</f>
        <v/>
      </c>
      <c r="O93" s="10" t="s">
        <v>32</v>
      </c>
      <c r="P93" s="10">
        <v>6</v>
      </c>
      <c r="T93">
        <v>67</v>
      </c>
      <c r="U93" s="43">
        <v>67</v>
      </c>
      <c r="V93" s="44">
        <v>67</v>
      </c>
      <c r="W93" s="45">
        <v>67</v>
      </c>
      <c r="X93" s="46">
        <v>67</v>
      </c>
      <c r="Y93" s="47">
        <v>67</v>
      </c>
      <c r="Z93" s="48">
        <v>67</v>
      </c>
    </row>
    <row r="94" spans="1:26" x14ac:dyDescent="0.25">
      <c r="F94" s="50"/>
      <c r="L94" s="23" t="s">
        <v>114</v>
      </c>
      <c r="M94" s="10">
        <f>_xlfn.VAR.P(Table1[science])</f>
        <v>691.83673469387759</v>
      </c>
      <c r="N94" t="str">
        <f t="shared" si="14"/>
        <v/>
      </c>
      <c r="O94" s="10"/>
      <c r="P94" s="10"/>
      <c r="T94">
        <v>0</v>
      </c>
      <c r="U94" s="43">
        <v>0</v>
      </c>
      <c r="V94" s="44">
        <v>0</v>
      </c>
      <c r="W94" s="45">
        <v>0</v>
      </c>
      <c r="X94" s="46">
        <v>0</v>
      </c>
      <c r="Y94" s="47">
        <v>0</v>
      </c>
      <c r="Z94" s="48">
        <v>0</v>
      </c>
    </row>
    <row r="95" spans="1:26" ht="18.75" x14ac:dyDescent="0.3">
      <c r="F95" s="50"/>
      <c r="L95" s="23" t="s">
        <v>115</v>
      </c>
      <c r="M95" s="10">
        <f>_xlfn.VAR.S(Table1[science])</f>
        <v>807.14285714285688</v>
      </c>
      <c r="N95" t="str">
        <f t="shared" si="14"/>
        <v/>
      </c>
      <c r="O95" s="63" t="s">
        <v>118</v>
      </c>
      <c r="P95" s="10">
        <f>COUNT(O84:O93,P84:P93)</f>
        <v>10</v>
      </c>
      <c r="T95">
        <v>-9.89</v>
      </c>
      <c r="U95" s="43">
        <v>-9.89</v>
      </c>
      <c r="V95" s="44">
        <v>-9.89</v>
      </c>
      <c r="W95" s="45">
        <v>-9.89</v>
      </c>
      <c r="X95" s="46">
        <v>-9.89</v>
      </c>
      <c r="Y95" s="47">
        <v>-9.89</v>
      </c>
      <c r="Z95" s="48">
        <v>-9.89</v>
      </c>
    </row>
    <row r="96" spans="1:26" x14ac:dyDescent="0.25">
      <c r="F96" s="50"/>
      <c r="L96" s="23" t="s">
        <v>116</v>
      </c>
      <c r="M96" s="10">
        <f>CORREL(Table1[maths],Table1[science])</f>
        <v>-0.21040606935293352</v>
      </c>
      <c r="N96" t="str">
        <f t="shared" si="14"/>
        <v/>
      </c>
      <c r="T96">
        <v>8.9990000000000006</v>
      </c>
      <c r="U96" s="43">
        <v>8.9990000000000006</v>
      </c>
      <c r="V96" s="44">
        <v>8.9990000000000006</v>
      </c>
      <c r="W96" s="45">
        <v>8.9990000000000006</v>
      </c>
      <c r="X96" s="46">
        <v>8.9990000000000006</v>
      </c>
      <c r="Y96" s="47">
        <v>8.9990000000000006</v>
      </c>
      <c r="Z96" s="48">
        <v>8.9990000000000006</v>
      </c>
    </row>
    <row r="97" spans="1:26" x14ac:dyDescent="0.25">
      <c r="F97" s="50"/>
      <c r="M97" t="str">
        <f t="shared" ref="M97:M98" si="15">LEFT(C97,3)</f>
        <v/>
      </c>
      <c r="N97" t="str">
        <f t="shared" si="14"/>
        <v/>
      </c>
      <c r="T97">
        <v>0.55000000000000004</v>
      </c>
      <c r="U97" s="43">
        <v>0.55000000000000004</v>
      </c>
      <c r="V97" s="44">
        <v>0.55000000000000004</v>
      </c>
      <c r="W97" s="45">
        <v>0.55000000000000004</v>
      </c>
      <c r="X97" s="46">
        <v>0.55000000000000004</v>
      </c>
      <c r="Y97" s="47">
        <v>0.55000000000000004</v>
      </c>
      <c r="Z97" s="48">
        <v>0.55000000000000004</v>
      </c>
    </row>
    <row r="98" spans="1:26" x14ac:dyDescent="0.25">
      <c r="F98" s="50"/>
      <c r="M98" t="str">
        <f t="shared" si="15"/>
        <v/>
      </c>
      <c r="N98" t="str">
        <f t="shared" si="14"/>
        <v/>
      </c>
    </row>
    <row r="99" spans="1:26" ht="20.25" customHeight="1" x14ac:dyDescent="0.35">
      <c r="C99" s="82" t="s">
        <v>185</v>
      </c>
      <c r="D99" s="82"/>
      <c r="E99" s="82"/>
      <c r="F99" s="83"/>
      <c r="U99" s="43">
        <v>0</v>
      </c>
      <c r="V99" s="44">
        <v>2</v>
      </c>
      <c r="X99" s="46"/>
    </row>
    <row r="101" spans="1:26" ht="21" customHeight="1" x14ac:dyDescent="0.35">
      <c r="B101" s="76" t="s">
        <v>186</v>
      </c>
      <c r="G101" s="78"/>
      <c r="H101" s="79" t="s">
        <v>187</v>
      </c>
      <c r="I101" s="79"/>
      <c r="U101" s="43">
        <v>0</v>
      </c>
    </row>
    <row r="102" spans="1:26" ht="18" customHeight="1" thickBot="1" x14ac:dyDescent="0.3">
      <c r="T102" s="57" t="s">
        <v>163</v>
      </c>
      <c r="U102" s="57">
        <v>0</v>
      </c>
      <c r="V102" s="58">
        <v>0</v>
      </c>
      <c r="W102" s="57" t="s">
        <v>170</v>
      </c>
      <c r="X102" s="59">
        <v>0</v>
      </c>
      <c r="Y102" s="57" t="s">
        <v>171</v>
      </c>
      <c r="Z102" s="57" t="s">
        <v>172</v>
      </c>
    </row>
    <row r="103" spans="1:26" ht="21" customHeight="1" thickBot="1" x14ac:dyDescent="0.3">
      <c r="A103" s="75"/>
      <c r="B103" s="75" t="s">
        <v>3</v>
      </c>
      <c r="C103" s="75" t="s">
        <v>4</v>
      </c>
      <c r="I103" t="s">
        <v>188</v>
      </c>
      <c r="T103">
        <v>0.9</v>
      </c>
      <c r="U103" s="50">
        <v>0.9</v>
      </c>
      <c r="V103" s="49">
        <v>0.9</v>
      </c>
      <c r="W103" s="52">
        <v>0.9</v>
      </c>
      <c r="X103" s="51">
        <v>0.9</v>
      </c>
      <c r="Y103" s="53">
        <v>0.9</v>
      </c>
      <c r="Z103" s="54">
        <v>0.9</v>
      </c>
    </row>
    <row r="104" spans="1:26" ht="19.5" customHeight="1" x14ac:dyDescent="0.25">
      <c r="A104" t="s">
        <v>3</v>
      </c>
      <c r="B104">
        <v>1</v>
      </c>
      <c r="G104" s="75" t="s">
        <v>105</v>
      </c>
      <c r="H104" s="75" t="s">
        <v>189</v>
      </c>
      <c r="I104" s="75" t="s">
        <v>105</v>
      </c>
      <c r="J104" s="75" t="s">
        <v>190</v>
      </c>
      <c r="K104" s="75" t="s">
        <v>191</v>
      </c>
      <c r="L104" s="75" t="s">
        <v>192</v>
      </c>
      <c r="T104">
        <v>-5.3449999999999998</v>
      </c>
      <c r="U104" s="50">
        <v>-5.3449999999999998</v>
      </c>
      <c r="V104" s="49">
        <v>-5.3449999999999998</v>
      </c>
      <c r="W104" s="52">
        <v>-5.3449999999999998</v>
      </c>
      <c r="X104" s="51">
        <v>-5.3449999999999998</v>
      </c>
      <c r="Y104" s="53">
        <v>-5.3449999999999998</v>
      </c>
      <c r="Z104" s="54">
        <v>-5.3449999999999998</v>
      </c>
    </row>
    <row r="105" spans="1:26" ht="15.75" thickBot="1" x14ac:dyDescent="0.3">
      <c r="A105" s="74" t="s">
        <v>4</v>
      </c>
      <c r="B105" s="74">
        <v>0.9992395393640221</v>
      </c>
      <c r="C105" s="74">
        <v>1</v>
      </c>
      <c r="G105">
        <v>199</v>
      </c>
      <c r="H105" t="s">
        <v>3</v>
      </c>
      <c r="I105">
        <v>199</v>
      </c>
      <c r="J105">
        <v>2981.5299999999934</v>
      </c>
      <c r="K105">
        <v>14.982562814070318</v>
      </c>
      <c r="L105">
        <v>187.97714339881352</v>
      </c>
      <c r="T105">
        <v>0</v>
      </c>
      <c r="U105" s="50">
        <v>0</v>
      </c>
      <c r="V105" s="49">
        <v>0</v>
      </c>
      <c r="W105" s="52">
        <v>0</v>
      </c>
      <c r="X105" s="51">
        <v>0</v>
      </c>
      <c r="Y105" s="53">
        <v>0</v>
      </c>
      <c r="Z105" s="54">
        <v>0</v>
      </c>
    </row>
    <row r="106" spans="1:26" ht="15.75" thickBot="1" x14ac:dyDescent="0.3">
      <c r="G106" s="74">
        <v>199</v>
      </c>
      <c r="H106" s="74" t="s">
        <v>4</v>
      </c>
      <c r="I106" s="74">
        <v>199</v>
      </c>
      <c r="J106" s="74">
        <v>2684.0122161863314</v>
      </c>
      <c r="K106" s="74">
        <v>13.487498573800661</v>
      </c>
      <c r="L106" s="74">
        <v>157.89453853464502</v>
      </c>
      <c r="T106">
        <v>345</v>
      </c>
      <c r="U106" s="50">
        <v>345</v>
      </c>
      <c r="V106" s="49">
        <v>345</v>
      </c>
      <c r="W106" s="52">
        <v>345</v>
      </c>
      <c r="X106" s="51">
        <v>345</v>
      </c>
      <c r="Y106" s="53">
        <v>345</v>
      </c>
      <c r="Z106" s="54">
        <v>345</v>
      </c>
    </row>
    <row r="107" spans="1:26" ht="18.75" x14ac:dyDescent="0.3">
      <c r="B107" s="77" t="s">
        <v>203</v>
      </c>
      <c r="C107" s="77"/>
      <c r="D107" s="55"/>
      <c r="E107" s="78"/>
      <c r="T107">
        <v>67</v>
      </c>
      <c r="U107" s="50">
        <v>67</v>
      </c>
      <c r="V107" s="49">
        <v>67</v>
      </c>
      <c r="W107" s="52">
        <v>67</v>
      </c>
      <c r="X107" s="51">
        <v>67</v>
      </c>
      <c r="Y107" s="53">
        <v>67</v>
      </c>
      <c r="Z107" s="54">
        <v>67</v>
      </c>
    </row>
    <row r="108" spans="1:26" ht="15.75" thickBot="1" x14ac:dyDescent="0.3">
      <c r="T108">
        <v>0</v>
      </c>
      <c r="U108" s="50">
        <v>0</v>
      </c>
      <c r="V108" s="49">
        <v>0</v>
      </c>
      <c r="W108" s="52">
        <v>0</v>
      </c>
      <c r="X108" s="51">
        <v>0</v>
      </c>
      <c r="Y108" s="53">
        <v>0</v>
      </c>
      <c r="Z108" s="54">
        <v>0</v>
      </c>
    </row>
    <row r="109" spans="1:26" x14ac:dyDescent="0.25">
      <c r="A109" t="s">
        <v>188</v>
      </c>
      <c r="B109" t="s">
        <v>4</v>
      </c>
      <c r="C109" t="s">
        <v>6</v>
      </c>
      <c r="D109" t="s">
        <v>67</v>
      </c>
      <c r="G109" s="75" t="s">
        <v>195</v>
      </c>
      <c r="H109" s="75" t="s">
        <v>196</v>
      </c>
      <c r="I109" s="75" t="s">
        <v>197</v>
      </c>
      <c r="J109" s="75" t="s">
        <v>198</v>
      </c>
      <c r="K109" s="75" t="s">
        <v>199</v>
      </c>
      <c r="L109" s="75" t="s">
        <v>200</v>
      </c>
      <c r="T109">
        <v>-9.89</v>
      </c>
      <c r="U109" s="50">
        <v>-9.89</v>
      </c>
      <c r="V109" s="49">
        <v>-9.89</v>
      </c>
      <c r="W109" s="52">
        <v>-9.89</v>
      </c>
      <c r="X109" s="51">
        <v>-9.89</v>
      </c>
      <c r="Y109" s="53">
        <v>-9.89</v>
      </c>
      <c r="Z109" s="54">
        <v>-9.89</v>
      </c>
    </row>
    <row r="110" spans="1:26" ht="15.75" thickBot="1" x14ac:dyDescent="0.3">
      <c r="A110" s="80">
        <v>13.27</v>
      </c>
      <c r="B110" s="80"/>
      <c r="C110" s="80"/>
      <c r="D110" s="80"/>
      <c r="G110">
        <v>222.40409971207555</v>
      </c>
      <c r="H110">
        <v>1</v>
      </c>
      <c r="I110">
        <v>222.40409971207555</v>
      </c>
      <c r="J110">
        <v>1.2860497770087123</v>
      </c>
      <c r="K110">
        <v>0.25746323723484765</v>
      </c>
      <c r="L110">
        <v>3.8650482972525491</v>
      </c>
      <c r="T110">
        <v>8.9990000000000006</v>
      </c>
      <c r="U110" s="50">
        <v>8.9990000000000006</v>
      </c>
      <c r="V110" s="49">
        <v>8.9990000000000006</v>
      </c>
      <c r="W110" s="52">
        <v>8.9990000000000006</v>
      </c>
      <c r="X110" s="51">
        <v>8.9990000000000006</v>
      </c>
      <c r="Y110" s="53">
        <v>8.9990000000000006</v>
      </c>
      <c r="Z110" s="54">
        <v>8.9990000000000006</v>
      </c>
    </row>
    <row r="111" spans="1:26" x14ac:dyDescent="0.25">
      <c r="A111" t="s">
        <v>105</v>
      </c>
      <c r="B111">
        <v>199</v>
      </c>
      <c r="C111">
        <v>199</v>
      </c>
      <c r="D111">
        <v>398</v>
      </c>
      <c r="G111">
        <v>68482.593022824556</v>
      </c>
      <c r="H111">
        <v>396</v>
      </c>
      <c r="I111">
        <v>172.93584096672868</v>
      </c>
      <c r="T111">
        <v>0.55000000000000004</v>
      </c>
      <c r="U111" s="50">
        <v>0.55000000000000004</v>
      </c>
      <c r="V111" s="49">
        <v>0.55000000000000004</v>
      </c>
      <c r="W111" s="52">
        <v>0.55000000000000004</v>
      </c>
      <c r="X111" s="51">
        <v>0.55000000000000004</v>
      </c>
      <c r="Y111" s="53">
        <v>0.55000000000000004</v>
      </c>
      <c r="Z111" s="54">
        <v>0.55000000000000004</v>
      </c>
    </row>
    <row r="112" spans="1:26" x14ac:dyDescent="0.25">
      <c r="A112" t="s">
        <v>190</v>
      </c>
      <c r="B112">
        <v>2684.0122161863314</v>
      </c>
      <c r="C112">
        <v>2683.7</v>
      </c>
      <c r="D112">
        <v>5367.7122161863326</v>
      </c>
    </row>
    <row r="113" spans="1:24" ht="16.5" thickBot="1" x14ac:dyDescent="0.3">
      <c r="A113" t="s">
        <v>191</v>
      </c>
      <c r="B113">
        <v>13.487498573800661</v>
      </c>
      <c r="C113">
        <v>13.485929648241205</v>
      </c>
      <c r="D113">
        <v>13.486714111020936</v>
      </c>
      <c r="G113" s="74">
        <v>68704.997122536632</v>
      </c>
      <c r="H113" s="74">
        <v>397</v>
      </c>
      <c r="I113" s="74"/>
      <c r="J113" s="74"/>
      <c r="K113" s="74"/>
      <c r="L113" s="74"/>
      <c r="U113" s="65" t="s">
        <v>173</v>
      </c>
    </row>
    <row r="114" spans="1:24" x14ac:dyDescent="0.25">
      <c r="A114" t="s">
        <v>192</v>
      </c>
      <c r="B114">
        <v>157.89453853464502</v>
      </c>
      <c r="C114">
        <v>157.8557606212884</v>
      </c>
      <c r="D114">
        <v>157.47747979293914</v>
      </c>
    </row>
    <row r="115" spans="1:24" x14ac:dyDescent="0.25">
      <c r="T115" s="60" t="s">
        <v>2</v>
      </c>
      <c r="U115" s="60" t="s">
        <v>3</v>
      </c>
      <c r="V115" s="60" t="s">
        <v>4</v>
      </c>
      <c r="W115" s="60" t="s">
        <v>5</v>
      </c>
      <c r="X115" s="60" t="s">
        <v>174</v>
      </c>
    </row>
    <row r="116" spans="1:24" ht="19.5" thickBot="1" x14ac:dyDescent="0.35">
      <c r="A116" s="80" t="s">
        <v>67</v>
      </c>
      <c r="B116" s="80"/>
      <c r="C116" s="80"/>
      <c r="I116" s="77" t="s">
        <v>208</v>
      </c>
      <c r="J116" s="77"/>
      <c r="K116" s="77"/>
      <c r="L116" s="77"/>
      <c r="M116" s="78"/>
      <c r="T116" s="62" t="s">
        <v>16</v>
      </c>
      <c r="U116" s="10">
        <v>13.27</v>
      </c>
      <c r="V116" s="10">
        <v>11.539998800720999</v>
      </c>
      <c r="W116" s="10" t="s">
        <v>17</v>
      </c>
      <c r="X116" s="61">
        <v>40</v>
      </c>
    </row>
    <row r="117" spans="1:24" ht="15.75" thickBot="1" x14ac:dyDescent="0.3">
      <c r="A117" t="s">
        <v>105</v>
      </c>
      <c r="B117">
        <v>199</v>
      </c>
      <c r="C117">
        <v>199</v>
      </c>
      <c r="T117" s="62" t="s">
        <v>16</v>
      </c>
      <c r="U117" s="10">
        <v>6.79</v>
      </c>
      <c r="V117" s="10">
        <v>6.1873028678125399</v>
      </c>
      <c r="W117" s="10" t="s">
        <v>17</v>
      </c>
      <c r="X117" s="61">
        <v>200</v>
      </c>
    </row>
    <row r="118" spans="1:24" x14ac:dyDescent="0.25">
      <c r="A118" t="s">
        <v>190</v>
      </c>
      <c r="B118">
        <v>2684.0122161863314</v>
      </c>
      <c r="C118">
        <v>2683.7</v>
      </c>
      <c r="I118" s="75" t="s">
        <v>188</v>
      </c>
      <c r="J118" s="75" t="s">
        <v>105</v>
      </c>
      <c r="K118" s="75" t="s">
        <v>190</v>
      </c>
      <c r="L118" s="75" t="s">
        <v>191</v>
      </c>
      <c r="M118" s="75" t="s">
        <v>192</v>
      </c>
      <c r="T118" s="62" t="s">
        <v>16</v>
      </c>
      <c r="U118" s="10">
        <v>34.99</v>
      </c>
      <c r="V118" s="10">
        <v>32.9315991707848</v>
      </c>
      <c r="W118" s="10" t="s">
        <v>17</v>
      </c>
      <c r="X118" s="61">
        <v>150</v>
      </c>
    </row>
    <row r="119" spans="1:24" ht="26.25" customHeight="1" x14ac:dyDescent="0.25">
      <c r="A119" t="s">
        <v>191</v>
      </c>
      <c r="B119">
        <v>13.487498573800661</v>
      </c>
      <c r="C119">
        <v>13.485929648241205</v>
      </c>
      <c r="I119">
        <v>13.27</v>
      </c>
      <c r="J119">
        <v>2</v>
      </c>
      <c r="K119">
        <v>23.039998800721001</v>
      </c>
      <c r="L119">
        <v>11.519999400360501</v>
      </c>
      <c r="M119">
        <v>7.9995202955911431E-4</v>
      </c>
      <c r="T119" s="62" t="s">
        <v>16</v>
      </c>
      <c r="U119" s="10">
        <v>16.16</v>
      </c>
      <c r="V119" s="10">
        <v>14.6347990936824</v>
      </c>
      <c r="W119" s="10" t="s">
        <v>21</v>
      </c>
      <c r="X119" s="61">
        <v>650</v>
      </c>
    </row>
    <row r="120" spans="1:24" ht="21" customHeight="1" x14ac:dyDescent="0.25">
      <c r="A120" t="s">
        <v>192</v>
      </c>
      <c r="B120">
        <v>157.89453853464502</v>
      </c>
      <c r="C120">
        <v>157.8557606212884</v>
      </c>
      <c r="I120">
        <v>6.79</v>
      </c>
      <c r="J120">
        <v>2</v>
      </c>
      <c r="K120">
        <v>12.38730286781254</v>
      </c>
      <c r="L120">
        <v>6.19365143390627</v>
      </c>
      <c r="M120">
        <v>8.0608582892919802E-5</v>
      </c>
      <c r="T120" s="62" t="s">
        <v>16</v>
      </c>
      <c r="U120" s="10">
        <v>15.18</v>
      </c>
      <c r="V120" s="10">
        <v>13.0251265620665</v>
      </c>
      <c r="W120" s="10" t="s">
        <v>17</v>
      </c>
      <c r="X120" s="61">
        <v>125</v>
      </c>
    </row>
    <row r="121" spans="1:24" ht="18" customHeight="1" x14ac:dyDescent="0.25">
      <c r="I121">
        <v>34.99</v>
      </c>
      <c r="J121">
        <v>2</v>
      </c>
      <c r="K121">
        <v>65.831599170784799</v>
      </c>
      <c r="L121">
        <v>32.915799585392399</v>
      </c>
      <c r="M121">
        <v>4.992537971435214E-4</v>
      </c>
      <c r="T121" s="62" t="s">
        <v>16</v>
      </c>
      <c r="U121" s="10">
        <v>6.99</v>
      </c>
      <c r="V121" s="10">
        <v>6.0214702896113597</v>
      </c>
      <c r="W121" s="10" t="s">
        <v>21</v>
      </c>
      <c r="X121" s="61">
        <v>325</v>
      </c>
    </row>
    <row r="122" spans="1:24" ht="17.25" customHeight="1" x14ac:dyDescent="0.25">
      <c r="I122">
        <v>16.16</v>
      </c>
      <c r="J122">
        <v>2</v>
      </c>
      <c r="K122">
        <v>29.234799093682398</v>
      </c>
      <c r="L122">
        <v>14.617399546841199</v>
      </c>
      <c r="M122">
        <v>6.0548846055822865E-4</v>
      </c>
      <c r="T122" s="62" t="s">
        <v>16</v>
      </c>
      <c r="U122" s="10">
        <v>25.99</v>
      </c>
      <c r="V122" s="10">
        <v>24.3317485773747</v>
      </c>
      <c r="W122" s="10" t="s">
        <v>17</v>
      </c>
      <c r="X122" s="61">
        <v>780</v>
      </c>
    </row>
    <row r="123" spans="1:24" ht="15.75" thickBot="1" x14ac:dyDescent="0.3">
      <c r="A123" t="s">
        <v>193</v>
      </c>
      <c r="I123">
        <v>15.18</v>
      </c>
      <c r="J123">
        <v>2</v>
      </c>
      <c r="K123">
        <v>26.0251265620665</v>
      </c>
      <c r="L123">
        <v>13.01256328103325</v>
      </c>
      <c r="M123">
        <v>3.1567206064084371E-4</v>
      </c>
      <c r="T123" s="62" t="s">
        <v>16</v>
      </c>
      <c r="U123" s="10">
        <v>7.99</v>
      </c>
      <c r="V123" s="10">
        <v>7.3756176258308503</v>
      </c>
      <c r="W123" s="10" t="s">
        <v>17</v>
      </c>
      <c r="X123" s="61">
        <v>140</v>
      </c>
    </row>
    <row r="124" spans="1:24" x14ac:dyDescent="0.25">
      <c r="A124" s="75" t="s">
        <v>194</v>
      </c>
      <c r="B124" s="75" t="s">
        <v>195</v>
      </c>
      <c r="C124" s="75" t="s">
        <v>196</v>
      </c>
      <c r="D124" s="75" t="s">
        <v>197</v>
      </c>
      <c r="E124" s="75" t="s">
        <v>198</v>
      </c>
      <c r="F124" s="75" t="s">
        <v>199</v>
      </c>
      <c r="G124" s="75" t="s">
        <v>200</v>
      </c>
      <c r="I124">
        <v>6.99</v>
      </c>
      <c r="J124">
        <v>2</v>
      </c>
      <c r="K124">
        <v>12.02147028961136</v>
      </c>
      <c r="L124">
        <v>6.0107351448056798</v>
      </c>
      <c r="M124">
        <v>2.3048666799782929E-4</v>
      </c>
      <c r="T124" s="62" t="s">
        <v>16</v>
      </c>
      <c r="U124" s="10">
        <v>2.99</v>
      </c>
      <c r="V124" s="10">
        <v>2.67080947261142</v>
      </c>
      <c r="W124" s="10" t="s">
        <v>21</v>
      </c>
      <c r="X124" s="61">
        <v>89</v>
      </c>
    </row>
    <row r="125" spans="1:24" ht="22.5" customHeight="1" x14ac:dyDescent="0.25">
      <c r="A125" t="s">
        <v>204</v>
      </c>
      <c r="B125">
        <v>0</v>
      </c>
      <c r="C125">
        <v>0</v>
      </c>
      <c r="D125">
        <v>65535</v>
      </c>
      <c r="E125">
        <v>65535</v>
      </c>
      <c r="F125" t="e">
        <v>#NUM!</v>
      </c>
      <c r="G125" t="e">
        <v>#NUM!</v>
      </c>
      <c r="I125">
        <v>25.99</v>
      </c>
      <c r="J125">
        <v>2</v>
      </c>
      <c r="K125">
        <v>48.631748577374701</v>
      </c>
      <c r="L125">
        <v>24.31587428868735</v>
      </c>
      <c r="M125">
        <v>5.0398608265864034E-4</v>
      </c>
      <c r="T125" s="62" t="s">
        <v>16</v>
      </c>
      <c r="U125" s="10">
        <v>8.2200000000000006</v>
      </c>
      <c r="V125" s="10">
        <v>7.1067749314435504</v>
      </c>
      <c r="W125" s="10" t="s">
        <v>176</v>
      </c>
      <c r="X125" s="61">
        <v>320</v>
      </c>
    </row>
    <row r="126" spans="1:24" x14ac:dyDescent="0.25">
      <c r="A126" t="s">
        <v>205</v>
      </c>
      <c r="B126">
        <v>2.4492205557180569E-4</v>
      </c>
      <c r="C126">
        <v>1</v>
      </c>
      <c r="D126">
        <v>2.4492205557180569E-4</v>
      </c>
      <c r="E126">
        <v>1.5513654696545579E-6</v>
      </c>
      <c r="F126">
        <v>0.99900683173553695</v>
      </c>
      <c r="G126">
        <v>3.8650482972525491</v>
      </c>
      <c r="I126">
        <v>7.99</v>
      </c>
      <c r="J126">
        <v>2</v>
      </c>
      <c r="K126">
        <v>14.775617625830851</v>
      </c>
      <c r="L126">
        <v>7.3878088129154253</v>
      </c>
      <c r="M126">
        <v>2.9725008506221686E-4</v>
      </c>
      <c r="T126" s="62" t="s">
        <v>16</v>
      </c>
      <c r="U126" s="10">
        <v>5.95</v>
      </c>
      <c r="V126" s="10">
        <v>5.4161116395069504</v>
      </c>
      <c r="W126" s="10" t="s">
        <v>17</v>
      </c>
      <c r="X126" s="61">
        <v>400</v>
      </c>
    </row>
    <row r="127" spans="1:24" x14ac:dyDescent="0.25">
      <c r="A127" t="s">
        <v>206</v>
      </c>
      <c r="B127">
        <v>0</v>
      </c>
      <c r="C127">
        <v>0</v>
      </c>
      <c r="D127">
        <v>65535</v>
      </c>
      <c r="E127">
        <v>65535</v>
      </c>
      <c r="F127" t="e">
        <v>#NUM!</v>
      </c>
      <c r="G127" t="e">
        <v>#NUM!</v>
      </c>
      <c r="I127">
        <v>2.99</v>
      </c>
      <c r="J127">
        <v>2</v>
      </c>
      <c r="K127">
        <v>5.3708094726114197</v>
      </c>
      <c r="L127">
        <v>2.6854047363057099</v>
      </c>
      <c r="M127">
        <v>4.2604344461172512E-4</v>
      </c>
      <c r="T127" s="62" t="s">
        <v>31</v>
      </c>
      <c r="U127" s="10">
        <v>10.44</v>
      </c>
      <c r="V127" s="10">
        <v>9.2361940355201302</v>
      </c>
      <c r="W127" s="10" t="s">
        <v>21</v>
      </c>
      <c r="X127" s="61">
        <v>800</v>
      </c>
    </row>
    <row r="128" spans="1:24" ht="18" customHeight="1" x14ac:dyDescent="0.25">
      <c r="A128" t="s">
        <v>207</v>
      </c>
      <c r="B128">
        <v>62518.559232874759</v>
      </c>
      <c r="C128">
        <v>396</v>
      </c>
      <c r="D128">
        <v>157.87514957796657</v>
      </c>
      <c r="I128">
        <v>8.2200000000000006</v>
      </c>
      <c r="J128">
        <v>2</v>
      </c>
      <c r="K128">
        <v>14.206774931443551</v>
      </c>
      <c r="L128">
        <v>7.1033874657217755</v>
      </c>
      <c r="M128">
        <v>2.2949848032406603E-5</v>
      </c>
      <c r="T128" s="62" t="s">
        <v>31</v>
      </c>
      <c r="U128" s="10">
        <v>16.88</v>
      </c>
      <c r="V128" s="10">
        <v>14.3844222825145</v>
      </c>
      <c r="W128" s="10" t="s">
        <v>17</v>
      </c>
      <c r="X128" s="61">
        <v>690</v>
      </c>
    </row>
    <row r="129" spans="1:24" ht="16.5" customHeight="1" x14ac:dyDescent="0.25">
      <c r="I129">
        <v>5.95</v>
      </c>
      <c r="J129">
        <v>2</v>
      </c>
      <c r="K129">
        <v>10.81611163950695</v>
      </c>
      <c r="L129">
        <v>5.4080558197534749</v>
      </c>
      <c r="M129">
        <v>1.2979246380095681E-4</v>
      </c>
      <c r="T129" s="62" t="s">
        <v>31</v>
      </c>
      <c r="U129" s="10">
        <v>6.99</v>
      </c>
      <c r="V129" s="10">
        <v>6.1582511117471803</v>
      </c>
      <c r="W129" s="10" t="s">
        <v>17</v>
      </c>
      <c r="X129" s="61">
        <v>720</v>
      </c>
    </row>
    <row r="130" spans="1:24" ht="15.75" customHeight="1" thickBot="1" x14ac:dyDescent="0.3">
      <c r="A130" s="74" t="s">
        <v>67</v>
      </c>
      <c r="B130" s="74">
        <v>62518.559477796814</v>
      </c>
      <c r="C130" s="74">
        <v>397</v>
      </c>
      <c r="D130" s="74"/>
      <c r="E130" s="74"/>
      <c r="F130" s="74"/>
      <c r="G130" s="74"/>
      <c r="I130">
        <v>10.44</v>
      </c>
      <c r="J130">
        <v>2</v>
      </c>
      <c r="K130">
        <v>18.436194035520131</v>
      </c>
      <c r="L130">
        <v>9.2180970177600656</v>
      </c>
      <c r="M130">
        <v>6.5500410361624844E-4</v>
      </c>
      <c r="T130" s="62" t="s">
        <v>31</v>
      </c>
      <c r="U130" s="10">
        <v>14.99</v>
      </c>
      <c r="V130" s="10">
        <v>14.0347737853361</v>
      </c>
      <c r="W130" s="10" t="s">
        <v>21</v>
      </c>
      <c r="X130" s="61">
        <v>258</v>
      </c>
    </row>
    <row r="131" spans="1:24" ht="17.25" customHeight="1" x14ac:dyDescent="0.25">
      <c r="I131">
        <v>16.88</v>
      </c>
      <c r="J131">
        <v>2</v>
      </c>
      <c r="K131">
        <v>28.784422282514498</v>
      </c>
      <c r="L131">
        <v>14.392211141257249</v>
      </c>
      <c r="M131">
        <v>1.2133264102903778E-4</v>
      </c>
      <c r="T131" s="62" t="s">
        <v>31</v>
      </c>
      <c r="U131" s="10">
        <v>12.49</v>
      </c>
      <c r="V131" s="10">
        <v>11.088755568577</v>
      </c>
      <c r="W131" s="10" t="s">
        <v>25</v>
      </c>
      <c r="X131" s="61">
        <v>741</v>
      </c>
    </row>
    <row r="132" spans="1:24" ht="18.75" x14ac:dyDescent="0.3">
      <c r="A132" s="78"/>
      <c r="B132" s="79" t="s">
        <v>222</v>
      </c>
      <c r="C132" s="79"/>
      <c r="I132">
        <v>6.99</v>
      </c>
      <c r="J132">
        <v>2</v>
      </c>
      <c r="K132">
        <v>12.35825111174718</v>
      </c>
      <c r="L132">
        <v>6.1791255558735898</v>
      </c>
      <c r="M132">
        <v>8.7148483517322003E-4</v>
      </c>
      <c r="T132" s="62" t="s">
        <v>31</v>
      </c>
      <c r="U132" s="10">
        <v>7.99</v>
      </c>
      <c r="V132" s="10">
        <v>7.4222338708557096</v>
      </c>
      <c r="W132" s="10" t="s">
        <v>17</v>
      </c>
      <c r="X132" s="61">
        <v>369</v>
      </c>
    </row>
    <row r="133" spans="1:24" ht="15.75" thickBot="1" x14ac:dyDescent="0.3">
      <c r="I133">
        <v>14.99</v>
      </c>
      <c r="J133">
        <v>2</v>
      </c>
      <c r="K133">
        <v>28.0347737853361</v>
      </c>
      <c r="L133">
        <v>14.01738689266805</v>
      </c>
      <c r="M133">
        <v>6.0460807330056947E-4</v>
      </c>
      <c r="T133" s="62" t="s">
        <v>31</v>
      </c>
      <c r="U133" s="10">
        <v>14.97</v>
      </c>
      <c r="V133" s="10">
        <v>14.201831447502199</v>
      </c>
      <c r="W133" s="10" t="s">
        <v>17</v>
      </c>
      <c r="X133" s="61">
        <v>753</v>
      </c>
    </row>
    <row r="134" spans="1:24" x14ac:dyDescent="0.25">
      <c r="A134" s="75" t="s">
        <v>3</v>
      </c>
      <c r="B134" s="75"/>
      <c r="C134" s="75" t="s">
        <v>4</v>
      </c>
      <c r="D134" s="75"/>
      <c r="E134" s="75" t="s">
        <v>6</v>
      </c>
      <c r="F134" s="75"/>
      <c r="I134">
        <v>12.49</v>
      </c>
      <c r="J134">
        <v>2</v>
      </c>
      <c r="K134">
        <v>22.188755568577001</v>
      </c>
      <c r="L134">
        <v>11.094377784288501</v>
      </c>
      <c r="M134">
        <v>6.3218619013275158E-5</v>
      </c>
      <c r="T134" s="62" t="s">
        <v>31</v>
      </c>
      <c r="U134" s="10">
        <v>4.75</v>
      </c>
      <c r="V134" s="10">
        <v>4.3331722374248498</v>
      </c>
      <c r="W134" s="10" t="s">
        <v>17</v>
      </c>
      <c r="X134" s="61">
        <v>325</v>
      </c>
    </row>
    <row r="135" spans="1:24" x14ac:dyDescent="0.25">
      <c r="I135">
        <v>7.99</v>
      </c>
      <c r="J135">
        <v>2</v>
      </c>
      <c r="K135">
        <v>14.82223387085571</v>
      </c>
      <c r="L135">
        <v>7.411116935427855</v>
      </c>
      <c r="M135">
        <v>2.4717250661417903E-4</v>
      </c>
      <c r="T135" s="62" t="s">
        <v>16</v>
      </c>
      <c r="U135" s="10">
        <v>16.100000000000001</v>
      </c>
      <c r="V135" s="10">
        <v>14.716136675268199</v>
      </c>
      <c r="W135" s="10" t="s">
        <v>17</v>
      </c>
      <c r="X135" s="61">
        <v>862</v>
      </c>
    </row>
    <row r="136" spans="1:24" x14ac:dyDescent="0.25">
      <c r="A136" t="s">
        <v>211</v>
      </c>
      <c r="B136">
        <v>12.316842105263158</v>
      </c>
      <c r="C136" t="s">
        <v>211</v>
      </c>
      <c r="D136">
        <v>11.163210177417039</v>
      </c>
      <c r="E136" t="s">
        <v>211</v>
      </c>
      <c r="F136">
        <v>11.152631578947368</v>
      </c>
      <c r="I136">
        <v>14.97</v>
      </c>
      <c r="J136">
        <v>2</v>
      </c>
      <c r="K136">
        <v>28.401831447502197</v>
      </c>
      <c r="L136">
        <v>14.200915723751098</v>
      </c>
      <c r="M136">
        <v>1.6770999766570876E-6</v>
      </c>
    </row>
    <row r="137" spans="1:24" x14ac:dyDescent="0.25">
      <c r="A137" t="s">
        <v>212</v>
      </c>
      <c r="B137">
        <v>1.7850670458736504</v>
      </c>
      <c r="C137" t="s">
        <v>212</v>
      </c>
      <c r="D137">
        <v>1.6818167992346931</v>
      </c>
      <c r="E137" t="s">
        <v>212</v>
      </c>
      <c r="F137">
        <v>1.6794834979673359</v>
      </c>
      <c r="I137">
        <v>4.75</v>
      </c>
      <c r="J137">
        <v>2</v>
      </c>
      <c r="K137">
        <v>8.6331722374248496</v>
      </c>
      <c r="L137">
        <v>4.3165861187124248</v>
      </c>
      <c r="M137">
        <v>5.5019866788530891E-4</v>
      </c>
    </row>
    <row r="138" spans="1:24" ht="27" x14ac:dyDescent="0.5">
      <c r="A138" t="s">
        <v>213</v>
      </c>
      <c r="B138">
        <v>10.44</v>
      </c>
      <c r="C138" t="s">
        <v>213</v>
      </c>
      <c r="D138">
        <v>9.2361940355201302</v>
      </c>
      <c r="E138" t="s">
        <v>213</v>
      </c>
      <c r="F138">
        <v>9.1999999999999993</v>
      </c>
      <c r="T138" s="69" t="s">
        <v>175</v>
      </c>
    </row>
    <row r="139" spans="1:24" x14ac:dyDescent="0.25">
      <c r="A139" t="s">
        <v>214</v>
      </c>
      <c r="B139">
        <v>6.99</v>
      </c>
      <c r="C139" t="s">
        <v>214</v>
      </c>
      <c r="D139" t="e">
        <v>#N/A</v>
      </c>
      <c r="E139" t="s">
        <v>214</v>
      </c>
      <c r="F139">
        <v>6.2</v>
      </c>
      <c r="I139" t="s">
        <v>4</v>
      </c>
      <c r="J139">
        <v>19</v>
      </c>
      <c r="K139">
        <v>212.10099337092373</v>
      </c>
      <c r="L139">
        <v>11.163210177417039</v>
      </c>
      <c r="M139">
        <v>53.741647177572531</v>
      </c>
    </row>
    <row r="140" spans="1:24" ht="15.75" thickBot="1" x14ac:dyDescent="0.3">
      <c r="A140" t="s">
        <v>215</v>
      </c>
      <c r="B140">
        <v>7.7809268604079262</v>
      </c>
      <c r="C140" t="s">
        <v>215</v>
      </c>
      <c r="D140">
        <v>7.3308694694130612</v>
      </c>
      <c r="E140" t="s">
        <v>215</v>
      </c>
      <c r="F140">
        <v>7.3206988449838155</v>
      </c>
      <c r="I140" s="74" t="s">
        <v>6</v>
      </c>
      <c r="J140" s="74">
        <v>19</v>
      </c>
      <c r="K140" s="74">
        <v>211.89999999999998</v>
      </c>
      <c r="L140" s="74">
        <v>11.152631578947368</v>
      </c>
      <c r="M140" s="74">
        <v>53.592631578947376</v>
      </c>
      <c r="Q140" s="70" t="s">
        <v>1</v>
      </c>
      <c r="R140" s="70" t="s">
        <v>3</v>
      </c>
      <c r="S140" s="70" t="s">
        <v>4</v>
      </c>
      <c r="T140" s="70" t="s">
        <v>5</v>
      </c>
      <c r="U140" s="70" t="s">
        <v>177</v>
      </c>
    </row>
    <row r="141" spans="1:24" x14ac:dyDescent="0.25">
      <c r="A141" t="s">
        <v>216</v>
      </c>
      <c r="B141">
        <v>60.542822807017551</v>
      </c>
      <c r="C141" t="s">
        <v>216</v>
      </c>
      <c r="D141">
        <v>53.741647177572531</v>
      </c>
      <c r="E141" t="s">
        <v>216</v>
      </c>
      <c r="F141">
        <v>53.592631578947376</v>
      </c>
      <c r="Q141" s="10" t="s">
        <v>15</v>
      </c>
      <c r="R141" s="10">
        <v>13.27</v>
      </c>
      <c r="S141" s="10">
        <v>11.539998800720999</v>
      </c>
      <c r="T141" s="10" t="s">
        <v>17</v>
      </c>
      <c r="U141" s="10" t="s">
        <v>178</v>
      </c>
    </row>
    <row r="142" spans="1:24" x14ac:dyDescent="0.25">
      <c r="A142" t="s">
        <v>217</v>
      </c>
      <c r="B142">
        <v>3.1191531643469914</v>
      </c>
      <c r="C142" t="s">
        <v>217</v>
      </c>
      <c r="D142">
        <v>3.5782350505383449</v>
      </c>
      <c r="E142" t="s">
        <v>217</v>
      </c>
      <c r="F142">
        <v>3.5866800218369437</v>
      </c>
      <c r="Q142" s="10" t="s">
        <v>15</v>
      </c>
      <c r="R142" s="10">
        <v>6.79</v>
      </c>
      <c r="S142" s="10">
        <v>6.1873028678125399</v>
      </c>
      <c r="T142" s="10" t="s">
        <v>17</v>
      </c>
      <c r="U142" s="10" t="s">
        <v>179</v>
      </c>
    </row>
    <row r="143" spans="1:24" ht="15.75" thickBot="1" x14ac:dyDescent="0.3">
      <c r="A143" t="s">
        <v>218</v>
      </c>
      <c r="B143">
        <v>1.6099700202718286</v>
      </c>
      <c r="C143" t="s">
        <v>218</v>
      </c>
      <c r="D143">
        <v>1.7409310899725687</v>
      </c>
      <c r="E143" t="s">
        <v>218</v>
      </c>
      <c r="F143">
        <v>1.7433034206658817</v>
      </c>
      <c r="I143" t="s">
        <v>193</v>
      </c>
      <c r="Q143" s="10" t="s">
        <v>15</v>
      </c>
      <c r="R143" s="10">
        <v>34.99</v>
      </c>
      <c r="S143" s="10">
        <v>32.9315991707848</v>
      </c>
      <c r="T143" s="10" t="s">
        <v>17</v>
      </c>
      <c r="U143" s="10" t="s">
        <v>178</v>
      </c>
    </row>
    <row r="144" spans="1:24" x14ac:dyDescent="0.25">
      <c r="A144" t="s">
        <v>219</v>
      </c>
      <c r="B144">
        <v>32</v>
      </c>
      <c r="C144" t="s">
        <v>219</v>
      </c>
      <c r="D144">
        <v>30.260789698173379</v>
      </c>
      <c r="E144" t="s">
        <v>219</v>
      </c>
      <c r="F144">
        <v>30.2</v>
      </c>
      <c r="I144" s="75" t="s">
        <v>194</v>
      </c>
      <c r="J144" s="75" t="s">
        <v>195</v>
      </c>
      <c r="K144" s="75" t="s">
        <v>196</v>
      </c>
      <c r="L144" s="75" t="s">
        <v>197</v>
      </c>
      <c r="M144" s="75" t="s">
        <v>198</v>
      </c>
      <c r="N144" s="75" t="s">
        <v>199</v>
      </c>
      <c r="O144" s="75" t="s">
        <v>200</v>
      </c>
      <c r="Q144" s="10" t="s">
        <v>15</v>
      </c>
      <c r="R144" s="10">
        <v>16.16</v>
      </c>
      <c r="S144" s="10">
        <v>14.6347990936824</v>
      </c>
      <c r="T144" s="10" t="s">
        <v>21</v>
      </c>
      <c r="U144" s="10" t="s">
        <v>179</v>
      </c>
    </row>
    <row r="145" spans="1:21" x14ac:dyDescent="0.25">
      <c r="A145" t="s">
        <v>220</v>
      </c>
      <c r="B145">
        <v>2.99</v>
      </c>
      <c r="C145" t="s">
        <v>220</v>
      </c>
      <c r="D145">
        <v>2.67080947261142</v>
      </c>
      <c r="E145" t="s">
        <v>220</v>
      </c>
      <c r="F145">
        <v>2.7</v>
      </c>
      <c r="I145" t="s">
        <v>209</v>
      </c>
      <c r="J145">
        <v>1932.0110545513712</v>
      </c>
      <c r="K145">
        <v>18</v>
      </c>
      <c r="L145">
        <v>107.33394747507617</v>
      </c>
      <c r="M145">
        <v>323996.25610077125</v>
      </c>
      <c r="N145">
        <v>6.1787883314385853E-46</v>
      </c>
      <c r="O145">
        <v>2.2171971337173746</v>
      </c>
      <c r="Q145" s="10" t="s">
        <v>15</v>
      </c>
      <c r="R145" s="10">
        <v>15.18</v>
      </c>
      <c r="S145" s="10">
        <v>13.0251265620665</v>
      </c>
      <c r="T145" s="10" t="s">
        <v>17</v>
      </c>
      <c r="U145" s="10" t="s">
        <v>178</v>
      </c>
    </row>
    <row r="146" spans="1:21" x14ac:dyDescent="0.25">
      <c r="A146" t="s">
        <v>221</v>
      </c>
      <c r="B146">
        <v>34.99</v>
      </c>
      <c r="C146" t="s">
        <v>221</v>
      </c>
      <c r="D146">
        <v>32.9315991707848</v>
      </c>
      <c r="E146" t="s">
        <v>221</v>
      </c>
      <c r="F146">
        <v>32.9</v>
      </c>
      <c r="I146" t="s">
        <v>205</v>
      </c>
      <c r="J146">
        <v>1.0631140828536445E-3</v>
      </c>
      <c r="K146">
        <v>1</v>
      </c>
      <c r="L146">
        <v>1.0631140828536445E-3</v>
      </c>
      <c r="M146">
        <v>3.209096383346647</v>
      </c>
      <c r="N146">
        <v>9.0059426998252715E-2</v>
      </c>
      <c r="O146">
        <v>4.4138734191705664</v>
      </c>
      <c r="Q146" s="10" t="s">
        <v>15</v>
      </c>
      <c r="R146" s="10">
        <v>6.99</v>
      </c>
      <c r="S146" s="10">
        <v>6.0214702896113597</v>
      </c>
      <c r="T146" s="10" t="s">
        <v>21</v>
      </c>
      <c r="U146" s="10" t="s">
        <v>179</v>
      </c>
    </row>
    <row r="147" spans="1:21" x14ac:dyDescent="0.25">
      <c r="A147" t="s">
        <v>190</v>
      </c>
      <c r="B147">
        <v>234.01999999999998</v>
      </c>
      <c r="C147" t="s">
        <v>190</v>
      </c>
      <c r="D147">
        <v>212.10099337092373</v>
      </c>
      <c r="E147" t="s">
        <v>190</v>
      </c>
      <c r="F147">
        <v>211.89999999999998</v>
      </c>
      <c r="I147" t="s">
        <v>210</v>
      </c>
      <c r="J147">
        <v>5.9630659866343194E-3</v>
      </c>
      <c r="K147">
        <v>18</v>
      </c>
      <c r="L147">
        <v>3.3128144370190665E-4</v>
      </c>
      <c r="Q147" s="10" t="s">
        <v>16</v>
      </c>
      <c r="R147" s="10">
        <v>25.99</v>
      </c>
      <c r="S147" s="10">
        <v>24.3317485773747</v>
      </c>
      <c r="T147" s="10" t="s">
        <v>17</v>
      </c>
      <c r="U147" s="10" t="s">
        <v>179</v>
      </c>
    </row>
    <row r="148" spans="1:21" ht="15.75" thickBot="1" x14ac:dyDescent="0.3">
      <c r="A148" s="74" t="s">
        <v>105</v>
      </c>
      <c r="B148" s="74">
        <v>19</v>
      </c>
      <c r="C148" s="74" t="s">
        <v>105</v>
      </c>
      <c r="D148" s="74">
        <v>19</v>
      </c>
      <c r="E148" s="74" t="s">
        <v>105</v>
      </c>
      <c r="F148" s="74">
        <v>19</v>
      </c>
      <c r="Q148" s="10" t="s">
        <v>16</v>
      </c>
      <c r="R148" s="10">
        <v>7.99</v>
      </c>
      <c r="S148" s="10">
        <v>7.3756176258308503</v>
      </c>
      <c r="T148" s="10" t="s">
        <v>17</v>
      </c>
      <c r="U148" s="10" t="s">
        <v>179</v>
      </c>
    </row>
    <row r="149" spans="1:21" ht="15.75" thickBot="1" x14ac:dyDescent="0.3">
      <c r="I149" s="74" t="s">
        <v>67</v>
      </c>
      <c r="J149" s="74">
        <v>1932.0180807314407</v>
      </c>
      <c r="K149" s="74">
        <v>37</v>
      </c>
      <c r="L149" s="74"/>
      <c r="M149" s="74"/>
      <c r="N149" s="74"/>
      <c r="O149" s="74"/>
      <c r="Q149" s="10" t="s">
        <v>16</v>
      </c>
      <c r="R149" s="10">
        <v>2.99</v>
      </c>
      <c r="S149" s="10">
        <v>2.67080947261142</v>
      </c>
      <c r="T149" s="10" t="s">
        <v>21</v>
      </c>
      <c r="U149" s="10" t="s">
        <v>178</v>
      </c>
    </row>
    <row r="150" spans="1:21" ht="18.75" customHeight="1" x14ac:dyDescent="0.25">
      <c r="A150" s="86" t="s">
        <v>223</v>
      </c>
      <c r="B150" s="86" t="s">
        <v>224</v>
      </c>
      <c r="C150" s="86" t="s">
        <v>224</v>
      </c>
      <c r="D150" s="86" t="s">
        <v>225</v>
      </c>
      <c r="E150" s="86" t="s">
        <v>225</v>
      </c>
      <c r="F150" s="86" t="s">
        <v>226</v>
      </c>
      <c r="G150" s="86" t="s">
        <v>226</v>
      </c>
      <c r="Q150" s="10" t="s">
        <v>16</v>
      </c>
      <c r="R150" s="10">
        <v>8.2200000000000006</v>
      </c>
      <c r="S150" s="10">
        <v>7.1067749314435504</v>
      </c>
      <c r="T150" s="10" t="s">
        <v>17</v>
      </c>
      <c r="U150" s="10" t="s">
        <v>179</v>
      </c>
    </row>
    <row r="151" spans="1:21" x14ac:dyDescent="0.25">
      <c r="A151" s="85" t="s">
        <v>227</v>
      </c>
      <c r="B151" s="85">
        <v>78</v>
      </c>
      <c r="C151" s="85">
        <v>80</v>
      </c>
      <c r="D151" s="85">
        <v>82</v>
      </c>
      <c r="E151" s="85">
        <v>84</v>
      </c>
      <c r="F151" s="85">
        <v>75</v>
      </c>
      <c r="G151" s="85">
        <v>77</v>
      </c>
      <c r="Q151" s="10" t="s">
        <v>16</v>
      </c>
      <c r="R151" s="10">
        <v>5.95</v>
      </c>
      <c r="S151" s="10">
        <v>5.4161116395069504</v>
      </c>
      <c r="T151" s="10" t="s">
        <v>17</v>
      </c>
      <c r="U151" s="10" t="s">
        <v>178</v>
      </c>
    </row>
    <row r="152" spans="1:21" x14ac:dyDescent="0.25">
      <c r="A152" s="85" t="s">
        <v>228</v>
      </c>
      <c r="B152" s="85">
        <v>82</v>
      </c>
      <c r="C152" s="85">
        <v>84</v>
      </c>
      <c r="D152" s="85">
        <v>86</v>
      </c>
      <c r="E152" s="85">
        <v>88</v>
      </c>
      <c r="F152" s="85">
        <v>79</v>
      </c>
      <c r="G152" s="85">
        <v>81</v>
      </c>
      <c r="Q152" s="10" t="s">
        <v>16</v>
      </c>
      <c r="R152" s="10">
        <v>10.44</v>
      </c>
      <c r="S152" s="10">
        <v>9.2361940355201302</v>
      </c>
      <c r="T152" s="10" t="s">
        <v>21</v>
      </c>
      <c r="U152" s="10" t="s">
        <v>179</v>
      </c>
    </row>
    <row r="153" spans="1:21" x14ac:dyDescent="0.25">
      <c r="A153" s="85" t="s">
        <v>229</v>
      </c>
      <c r="B153" s="85">
        <v>85</v>
      </c>
      <c r="C153" s="85">
        <v>87</v>
      </c>
      <c r="D153" s="85">
        <v>89</v>
      </c>
      <c r="E153" s="85">
        <v>91</v>
      </c>
      <c r="F153" s="85">
        <v>82</v>
      </c>
      <c r="G153" s="85">
        <v>84</v>
      </c>
      <c r="Q153" s="10" t="s">
        <v>16</v>
      </c>
      <c r="R153" s="10">
        <v>16.88</v>
      </c>
      <c r="S153" s="10">
        <v>14.3844222825145</v>
      </c>
      <c r="T153" s="10" t="s">
        <v>17</v>
      </c>
      <c r="U153" s="10" t="s">
        <v>178</v>
      </c>
    </row>
    <row r="154" spans="1:21" x14ac:dyDescent="0.25">
      <c r="A154" s="85" t="s">
        <v>230</v>
      </c>
      <c r="B154" s="85">
        <v>88</v>
      </c>
      <c r="C154" s="85">
        <v>90</v>
      </c>
      <c r="D154" s="85">
        <v>92</v>
      </c>
      <c r="E154" s="85">
        <v>94</v>
      </c>
      <c r="F154" s="85">
        <v>85</v>
      </c>
      <c r="G154" s="85">
        <v>87</v>
      </c>
      <c r="Q154" s="10" t="s">
        <v>16</v>
      </c>
      <c r="R154" s="10">
        <v>6.99</v>
      </c>
      <c r="S154" s="10">
        <v>6.1582511117471803</v>
      </c>
      <c r="T154" s="10" t="s">
        <v>17</v>
      </c>
      <c r="U154" s="10" t="s">
        <v>179</v>
      </c>
    </row>
    <row r="155" spans="1:21" x14ac:dyDescent="0.25">
      <c r="A155" s="85" t="s">
        <v>231</v>
      </c>
      <c r="B155" s="85">
        <v>90</v>
      </c>
      <c r="C155" s="85">
        <v>92</v>
      </c>
      <c r="D155" s="85">
        <v>95</v>
      </c>
      <c r="E155" s="85">
        <v>97</v>
      </c>
      <c r="F155" s="85">
        <v>88</v>
      </c>
      <c r="G155" s="85">
        <v>90</v>
      </c>
    </row>
    <row r="157" spans="1:21" ht="18.75" x14ac:dyDescent="0.3">
      <c r="A157" s="77" t="s">
        <v>187</v>
      </c>
      <c r="B157">
        <f>AVERAGE(B151:B155)</f>
        <v>84.6</v>
      </c>
      <c r="M157" t="str">
        <f t="shared" ref="M157:M175" si="16">LEFT(C157,3)</f>
        <v/>
      </c>
      <c r="N157" t="str">
        <f t="shared" ref="N157:N175" si="17">RIGHT(C157,2)</f>
        <v/>
      </c>
    </row>
    <row r="158" spans="1:21" ht="15.75" thickBot="1" x14ac:dyDescent="0.3">
      <c r="A158" t="s">
        <v>188</v>
      </c>
      <c r="M158" t="str">
        <f t="shared" si="16"/>
        <v/>
      </c>
      <c r="N158" t="str">
        <f t="shared" si="17"/>
        <v/>
      </c>
    </row>
    <row r="159" spans="1:21" x14ac:dyDescent="0.25">
      <c r="A159" s="75" t="s">
        <v>189</v>
      </c>
      <c r="B159" s="75" t="s">
        <v>105</v>
      </c>
      <c r="C159" s="75" t="s">
        <v>190</v>
      </c>
      <c r="D159" s="75" t="s">
        <v>191</v>
      </c>
      <c r="E159" s="75" t="s">
        <v>192</v>
      </c>
    </row>
    <row r="160" spans="1:21" x14ac:dyDescent="0.25">
      <c r="A160" t="s">
        <v>224</v>
      </c>
      <c r="B160">
        <v>5</v>
      </c>
      <c r="C160">
        <v>423</v>
      </c>
      <c r="D160">
        <v>84.6</v>
      </c>
      <c r="E160">
        <v>22.799999999999997</v>
      </c>
    </row>
    <row r="161" spans="1:26" x14ac:dyDescent="0.25">
      <c r="A161" t="s">
        <v>224</v>
      </c>
      <c r="B161">
        <v>5</v>
      </c>
      <c r="C161">
        <v>433</v>
      </c>
      <c r="D161">
        <v>86.6</v>
      </c>
      <c r="E161">
        <v>22.799999999999997</v>
      </c>
    </row>
    <row r="162" spans="1:26" x14ac:dyDescent="0.25">
      <c r="A162" t="s">
        <v>225</v>
      </c>
      <c r="B162">
        <v>5</v>
      </c>
      <c r="C162">
        <v>444</v>
      </c>
      <c r="D162">
        <v>88.8</v>
      </c>
      <c r="E162">
        <v>25.699999999999996</v>
      </c>
    </row>
    <row r="163" spans="1:26" x14ac:dyDescent="0.25">
      <c r="A163" t="s">
        <v>225</v>
      </c>
      <c r="B163">
        <v>5</v>
      </c>
      <c r="C163">
        <v>454</v>
      </c>
      <c r="D163">
        <v>90.8</v>
      </c>
      <c r="E163">
        <v>25.699999999999996</v>
      </c>
    </row>
    <row r="164" spans="1:26" x14ac:dyDescent="0.25">
      <c r="A164" t="s">
        <v>226</v>
      </c>
      <c r="B164">
        <v>5</v>
      </c>
      <c r="C164">
        <v>409</v>
      </c>
      <c r="D164">
        <v>81.8</v>
      </c>
      <c r="E164">
        <v>25.699999999999996</v>
      </c>
    </row>
    <row r="165" spans="1:26" ht="15.75" thickBot="1" x14ac:dyDescent="0.3">
      <c r="A165" s="74" t="s">
        <v>226</v>
      </c>
      <c r="B165" s="74">
        <v>5</v>
      </c>
      <c r="C165" s="74">
        <v>419</v>
      </c>
      <c r="D165" s="74">
        <v>83.8</v>
      </c>
      <c r="E165" s="74">
        <v>25.699999999999996</v>
      </c>
    </row>
    <row r="168" spans="1:26" ht="15.75" thickBot="1" x14ac:dyDescent="0.3">
      <c r="A168" t="s">
        <v>193</v>
      </c>
    </row>
    <row r="169" spans="1:26" x14ac:dyDescent="0.25">
      <c r="A169" s="75" t="s">
        <v>194</v>
      </c>
      <c r="B169" s="75" t="s">
        <v>195</v>
      </c>
      <c r="C169" s="75" t="s">
        <v>196</v>
      </c>
      <c r="D169" s="75" t="s">
        <v>197</v>
      </c>
      <c r="E169" s="75" t="s">
        <v>198</v>
      </c>
      <c r="F169" s="75" t="s">
        <v>199</v>
      </c>
      <c r="G169" s="75" t="s">
        <v>200</v>
      </c>
    </row>
    <row r="170" spans="1:26" x14ac:dyDescent="0.25">
      <c r="A170" t="s">
        <v>201</v>
      </c>
      <c r="B170">
        <v>278.26666666666677</v>
      </c>
      <c r="C170">
        <v>5</v>
      </c>
      <c r="D170">
        <v>55.65333333333335</v>
      </c>
      <c r="E170">
        <v>2.2501347708894897</v>
      </c>
      <c r="F170">
        <v>8.197907232414646E-2</v>
      </c>
      <c r="G170">
        <v>2.6206541478628855</v>
      </c>
    </row>
    <row r="171" spans="1:26" x14ac:dyDescent="0.25">
      <c r="A171" t="s">
        <v>202</v>
      </c>
      <c r="B171">
        <v>593.5999999999998</v>
      </c>
      <c r="C171">
        <v>24</v>
      </c>
      <c r="D171">
        <v>24.733333333333324</v>
      </c>
    </row>
    <row r="172" spans="1:26" x14ac:dyDescent="0.25">
      <c r="U172" s="71" t="s">
        <v>180</v>
      </c>
      <c r="V172" s="72" t="s">
        <v>180</v>
      </c>
      <c r="W172" t="str">
        <f>10&amp;"-"&amp;20</f>
        <v>10-20</v>
      </c>
      <c r="X172" t="s">
        <v>182</v>
      </c>
      <c r="Y172" t="s">
        <v>183</v>
      </c>
      <c r="Z172" t="s">
        <v>184</v>
      </c>
    </row>
    <row r="173" spans="1:26" ht="15.75" thickBot="1" x14ac:dyDescent="0.3">
      <c r="A173" s="74" t="s">
        <v>67</v>
      </c>
      <c r="B173" s="74">
        <v>871.86666666666656</v>
      </c>
      <c r="C173" s="74">
        <v>29</v>
      </c>
      <c r="D173" s="74"/>
      <c r="E173" s="74"/>
      <c r="F173" s="74"/>
      <c r="G173" s="74"/>
      <c r="U173" t="s">
        <v>181</v>
      </c>
      <c r="X173">
        <v>10</v>
      </c>
      <c r="Y173">
        <v>20</v>
      </c>
    </row>
    <row r="175" spans="1:26" ht="18.75" x14ac:dyDescent="0.3">
      <c r="A175" s="87" t="s">
        <v>203</v>
      </c>
      <c r="B175" s="87"/>
    </row>
    <row r="177" spans="1:7" x14ac:dyDescent="0.25">
      <c r="A177" t="s">
        <v>188</v>
      </c>
      <c r="B177" t="s">
        <v>224</v>
      </c>
      <c r="C177" t="s">
        <v>225</v>
      </c>
      <c r="D177" t="s">
        <v>225</v>
      </c>
      <c r="E177" t="s">
        <v>67</v>
      </c>
    </row>
    <row r="178" spans="1:7" ht="15.75" thickBot="1" x14ac:dyDescent="0.3">
      <c r="A178" s="90">
        <v>78</v>
      </c>
      <c r="B178" s="90"/>
      <c r="C178" s="90"/>
      <c r="D178" s="90"/>
      <c r="E178" s="90"/>
    </row>
    <row r="179" spans="1:7" x14ac:dyDescent="0.25">
      <c r="A179" s="89" t="s">
        <v>105</v>
      </c>
      <c r="B179" s="89">
        <v>5</v>
      </c>
      <c r="C179" s="89">
        <v>5</v>
      </c>
      <c r="D179" s="89">
        <v>5</v>
      </c>
      <c r="E179" s="89">
        <v>15</v>
      </c>
    </row>
    <row r="180" spans="1:7" x14ac:dyDescent="0.25">
      <c r="A180" s="89" t="s">
        <v>190</v>
      </c>
      <c r="B180" s="89">
        <v>433</v>
      </c>
      <c r="C180" s="89">
        <v>444</v>
      </c>
      <c r="D180" s="89">
        <v>454</v>
      </c>
      <c r="E180" s="89">
        <v>1331</v>
      </c>
    </row>
    <row r="181" spans="1:7" x14ac:dyDescent="0.25">
      <c r="A181" s="89" t="s">
        <v>191</v>
      </c>
      <c r="B181" s="89">
        <v>86.6</v>
      </c>
      <c r="C181" s="89">
        <v>88.8</v>
      </c>
      <c r="D181" s="89">
        <v>90.8</v>
      </c>
      <c r="E181" s="89">
        <v>88.733333333333334</v>
      </c>
    </row>
    <row r="182" spans="1:7" x14ac:dyDescent="0.25">
      <c r="A182" s="89" t="s">
        <v>192</v>
      </c>
      <c r="B182" s="89">
        <v>22.799999999999997</v>
      </c>
      <c r="C182" s="89">
        <v>25.699999999999996</v>
      </c>
      <c r="D182" s="89">
        <v>25.699999999999996</v>
      </c>
      <c r="E182" s="89">
        <v>24.352380952380962</v>
      </c>
    </row>
    <row r="183" spans="1:7" x14ac:dyDescent="0.25">
      <c r="A183" s="89"/>
      <c r="B183" s="89"/>
      <c r="C183" s="89"/>
      <c r="D183" s="89"/>
      <c r="E183" s="89"/>
    </row>
    <row r="184" spans="1:7" ht="15.75" thickBot="1" x14ac:dyDescent="0.3">
      <c r="A184" s="90" t="s">
        <v>67</v>
      </c>
      <c r="B184" s="90"/>
      <c r="C184" s="90"/>
    </row>
    <row r="185" spans="1:7" x14ac:dyDescent="0.25">
      <c r="A185" s="89" t="s">
        <v>105</v>
      </c>
      <c r="B185" s="89">
        <v>5</v>
      </c>
      <c r="C185" s="89">
        <v>5</v>
      </c>
      <c r="D185">
        <v>5</v>
      </c>
    </row>
    <row r="186" spans="1:7" x14ac:dyDescent="0.25">
      <c r="A186" s="89" t="s">
        <v>190</v>
      </c>
      <c r="B186" s="89">
        <v>433</v>
      </c>
      <c r="C186" s="89">
        <v>444</v>
      </c>
      <c r="D186">
        <v>454</v>
      </c>
    </row>
    <row r="187" spans="1:7" x14ac:dyDescent="0.25">
      <c r="A187" s="89" t="s">
        <v>191</v>
      </c>
      <c r="B187" s="89">
        <v>86.6</v>
      </c>
      <c r="C187" s="89">
        <v>88.8</v>
      </c>
      <c r="D187">
        <v>90.8</v>
      </c>
    </row>
    <row r="188" spans="1:7" x14ac:dyDescent="0.25">
      <c r="A188" s="89" t="s">
        <v>192</v>
      </c>
      <c r="B188" s="89">
        <v>22.799999999999997</v>
      </c>
      <c r="C188" s="89">
        <v>25.699999999999996</v>
      </c>
      <c r="D188">
        <v>25.699999999999996</v>
      </c>
    </row>
    <row r="189" spans="1:7" x14ac:dyDescent="0.25">
      <c r="A189" s="89"/>
      <c r="B189" s="89"/>
      <c r="C189" s="89"/>
    </row>
    <row r="191" spans="1:7" ht="15.75" thickBot="1" x14ac:dyDescent="0.3">
      <c r="A191" t="s">
        <v>193</v>
      </c>
    </row>
    <row r="192" spans="1:7" x14ac:dyDescent="0.25">
      <c r="A192" s="92" t="s">
        <v>194</v>
      </c>
      <c r="B192" s="92" t="s">
        <v>195</v>
      </c>
      <c r="C192" s="92" t="s">
        <v>196</v>
      </c>
      <c r="D192" s="92" t="s">
        <v>197</v>
      </c>
      <c r="E192" s="92" t="s">
        <v>198</v>
      </c>
      <c r="F192" s="92" t="s">
        <v>199</v>
      </c>
      <c r="G192" s="92" t="s">
        <v>200</v>
      </c>
    </row>
    <row r="193" spans="1:14" x14ac:dyDescent="0.25">
      <c r="A193" s="89" t="s">
        <v>204</v>
      </c>
      <c r="B193" s="89">
        <v>0</v>
      </c>
      <c r="C193" s="89">
        <v>0</v>
      </c>
      <c r="D193" s="89">
        <v>65535</v>
      </c>
      <c r="E193" s="89">
        <v>65535</v>
      </c>
      <c r="F193" s="89" t="e">
        <v>#NUM!</v>
      </c>
      <c r="G193" s="89" t="e">
        <v>#NUM!</v>
      </c>
    </row>
    <row r="194" spans="1:14" x14ac:dyDescent="0.25">
      <c r="A194" s="89" t="s">
        <v>205</v>
      </c>
      <c r="B194" s="89">
        <v>44.133333333333496</v>
      </c>
      <c r="C194" s="89">
        <v>2</v>
      </c>
      <c r="D194" s="89">
        <v>22.066666666666748</v>
      </c>
      <c r="E194" s="89">
        <v>0.89218328840970684</v>
      </c>
      <c r="F194" s="89">
        <v>0.43527787412826524</v>
      </c>
      <c r="G194" s="89">
        <v>3.8852938346523942</v>
      </c>
    </row>
    <row r="195" spans="1:14" x14ac:dyDescent="0.25">
      <c r="A195" s="89" t="s">
        <v>206</v>
      </c>
      <c r="B195" s="89">
        <v>0</v>
      </c>
      <c r="C195" s="89">
        <v>0</v>
      </c>
      <c r="D195" s="89">
        <v>65535</v>
      </c>
      <c r="E195" s="89">
        <v>65535</v>
      </c>
      <c r="F195" s="89" t="e">
        <v>#NUM!</v>
      </c>
      <c r="G195" s="89" t="e">
        <v>#NUM!</v>
      </c>
    </row>
    <row r="196" spans="1:14" x14ac:dyDescent="0.25">
      <c r="A196" s="89" t="s">
        <v>207</v>
      </c>
      <c r="B196" s="89">
        <v>296.79999999999995</v>
      </c>
      <c r="C196" s="89">
        <v>12</v>
      </c>
      <c r="D196" s="89">
        <v>24.733333333333331</v>
      </c>
      <c r="E196" s="89"/>
      <c r="F196" s="89"/>
      <c r="G196" s="89"/>
    </row>
    <row r="197" spans="1:14" x14ac:dyDescent="0.25">
      <c r="A197" s="89"/>
      <c r="B197" s="89"/>
      <c r="C197" s="89"/>
      <c r="D197" s="89"/>
      <c r="E197" s="89"/>
      <c r="F197" s="89"/>
      <c r="G197" s="89"/>
    </row>
    <row r="198" spans="1:14" ht="15.75" thickBot="1" x14ac:dyDescent="0.3">
      <c r="A198" s="91" t="s">
        <v>67</v>
      </c>
      <c r="B198" s="91">
        <v>340.93333333333345</v>
      </c>
      <c r="C198" s="91">
        <v>14</v>
      </c>
      <c r="D198" s="91"/>
      <c r="E198" s="91"/>
      <c r="F198" s="91"/>
      <c r="G198" s="91"/>
      <c r="M198" t="str">
        <f t="shared" ref="M176:M199" si="18">LEFT(C199,3)</f>
        <v/>
      </c>
      <c r="N198" t="str">
        <f t="shared" ref="N176:N199" si="19">RIGHT(C199,2)</f>
        <v/>
      </c>
    </row>
    <row r="199" spans="1:14" x14ac:dyDescent="0.25">
      <c r="M199" t="str">
        <f t="shared" si="18"/>
        <v/>
      </c>
      <c r="N199" t="str">
        <f t="shared" si="19"/>
        <v/>
      </c>
    </row>
    <row r="200" spans="1:14" ht="18.75" x14ac:dyDescent="0.3">
      <c r="A200" s="87" t="s">
        <v>208</v>
      </c>
      <c r="B200" s="87"/>
    </row>
    <row r="201" spans="1:14" ht="15.75" thickBot="1" x14ac:dyDescent="0.3"/>
    <row r="202" spans="1:14" x14ac:dyDescent="0.25">
      <c r="A202" s="92" t="s">
        <v>188</v>
      </c>
      <c r="B202" s="92" t="s">
        <v>105</v>
      </c>
      <c r="C202" s="92" t="s">
        <v>190</v>
      </c>
      <c r="D202" s="92" t="s">
        <v>191</v>
      </c>
      <c r="E202" s="92" t="s">
        <v>192</v>
      </c>
    </row>
    <row r="203" spans="1:14" x14ac:dyDescent="0.25">
      <c r="A203" s="89">
        <v>78</v>
      </c>
      <c r="B203" s="89">
        <v>1</v>
      </c>
      <c r="C203" s="89">
        <v>80</v>
      </c>
      <c r="D203" s="89">
        <v>80</v>
      </c>
      <c r="E203" s="89" t="e">
        <v>#DIV/0!</v>
      </c>
    </row>
    <row r="204" spans="1:14" ht="17.25" customHeight="1" x14ac:dyDescent="0.25">
      <c r="A204" s="89">
        <v>82</v>
      </c>
      <c r="B204" s="89">
        <v>1</v>
      </c>
      <c r="C204" s="89">
        <v>84</v>
      </c>
      <c r="D204" s="89">
        <v>84</v>
      </c>
      <c r="E204" s="89" t="e">
        <v>#DIV/0!</v>
      </c>
    </row>
    <row r="205" spans="1:14" x14ac:dyDescent="0.25">
      <c r="A205" s="89">
        <v>85</v>
      </c>
      <c r="B205" s="89">
        <v>1</v>
      </c>
      <c r="C205" s="89">
        <v>87</v>
      </c>
      <c r="D205" s="89">
        <v>87</v>
      </c>
      <c r="E205" s="89" t="e">
        <v>#DIV/0!</v>
      </c>
    </row>
    <row r="206" spans="1:14" x14ac:dyDescent="0.25">
      <c r="A206" s="89">
        <v>88</v>
      </c>
      <c r="B206" s="89">
        <v>1</v>
      </c>
      <c r="C206" s="89">
        <v>90</v>
      </c>
      <c r="D206" s="89">
        <v>90</v>
      </c>
      <c r="E206" s="89" t="e">
        <v>#DIV/0!</v>
      </c>
    </row>
    <row r="207" spans="1:14" x14ac:dyDescent="0.25">
      <c r="A207" s="89">
        <v>90</v>
      </c>
      <c r="B207" s="89">
        <v>1</v>
      </c>
      <c r="C207" s="89">
        <v>92</v>
      </c>
      <c r="D207" s="89">
        <v>92</v>
      </c>
      <c r="E207" s="89" t="e">
        <v>#DIV/0!</v>
      </c>
    </row>
    <row r="208" spans="1:14" x14ac:dyDescent="0.25">
      <c r="A208" s="89"/>
      <c r="B208" s="89"/>
      <c r="C208" s="89"/>
      <c r="D208" s="89"/>
      <c r="E208" s="89"/>
    </row>
    <row r="209" spans="1:7" ht="15.75" thickBot="1" x14ac:dyDescent="0.3">
      <c r="A209" s="91" t="s">
        <v>224</v>
      </c>
      <c r="B209" s="91">
        <v>5</v>
      </c>
      <c r="C209" s="91">
        <v>433</v>
      </c>
      <c r="D209" s="91">
        <v>86.6</v>
      </c>
      <c r="E209" s="91">
        <v>22.799999999999997</v>
      </c>
    </row>
    <row r="212" spans="1:7" ht="15.75" thickBot="1" x14ac:dyDescent="0.3">
      <c r="A212" t="s">
        <v>193</v>
      </c>
    </row>
    <row r="213" spans="1:7" x14ac:dyDescent="0.25">
      <c r="A213" s="92" t="s">
        <v>194</v>
      </c>
      <c r="B213" s="92" t="s">
        <v>195</v>
      </c>
      <c r="C213" s="92" t="s">
        <v>196</v>
      </c>
      <c r="D213" s="92" t="s">
        <v>197</v>
      </c>
      <c r="E213" s="92" t="s">
        <v>198</v>
      </c>
      <c r="F213" s="92" t="s">
        <v>199</v>
      </c>
      <c r="G213" s="92" t="s">
        <v>200</v>
      </c>
    </row>
    <row r="214" spans="1:7" x14ac:dyDescent="0.25">
      <c r="A214" s="89" t="s">
        <v>209</v>
      </c>
      <c r="B214" s="89">
        <v>91.199999999999989</v>
      </c>
      <c r="C214" s="89">
        <v>4</v>
      </c>
      <c r="D214" s="89">
        <v>22.799999999999997</v>
      </c>
      <c r="E214" s="89">
        <v>65535</v>
      </c>
      <c r="F214" s="89" t="e">
        <v>#NUM!</v>
      </c>
      <c r="G214" s="89" t="e">
        <v>#NUM!</v>
      </c>
    </row>
    <row r="215" spans="1:7" x14ac:dyDescent="0.25">
      <c r="A215" s="89" t="s">
        <v>205</v>
      </c>
      <c r="B215" s="89">
        <v>0</v>
      </c>
      <c r="C215" s="89">
        <v>0</v>
      </c>
      <c r="D215" s="89">
        <v>65535</v>
      </c>
      <c r="E215" s="89">
        <v>65535</v>
      </c>
      <c r="F215" s="89" t="e">
        <v>#NUM!</v>
      </c>
      <c r="G215" s="89" t="e">
        <v>#NUM!</v>
      </c>
    </row>
    <row r="216" spans="1:7" x14ac:dyDescent="0.25">
      <c r="A216" s="89" t="s">
        <v>210</v>
      </c>
      <c r="B216" s="89">
        <v>0</v>
      </c>
      <c r="C216" s="89">
        <v>0</v>
      </c>
      <c r="D216" s="89">
        <v>65535</v>
      </c>
      <c r="E216" s="89"/>
      <c r="F216" s="89"/>
      <c r="G216" s="89"/>
    </row>
    <row r="217" spans="1:7" x14ac:dyDescent="0.25">
      <c r="A217" s="89"/>
      <c r="B217" s="89"/>
      <c r="C217" s="89"/>
      <c r="D217" s="89"/>
      <c r="E217" s="89"/>
      <c r="F217" s="89"/>
      <c r="G217" s="89"/>
    </row>
    <row r="218" spans="1:7" ht="15.75" thickBot="1" x14ac:dyDescent="0.3">
      <c r="A218" s="91" t="s">
        <v>67</v>
      </c>
      <c r="B218" s="91">
        <v>91.199999999999989</v>
      </c>
      <c r="C218" s="91">
        <v>4</v>
      </c>
      <c r="D218" s="91"/>
      <c r="E218" s="91"/>
      <c r="F218" s="91"/>
      <c r="G218" s="91"/>
    </row>
    <row r="225" spans="17:23" x14ac:dyDescent="0.25">
      <c r="Q225" s="71"/>
      <c r="R225" s="72"/>
    </row>
    <row r="226" spans="17:23" x14ac:dyDescent="0.25">
      <c r="W226" s="73"/>
    </row>
    <row r="423" spans="9:15" ht="15.75" thickBot="1" x14ac:dyDescent="0.3">
      <c r="I423" s="74"/>
      <c r="J423" s="74"/>
      <c r="K423" s="74"/>
      <c r="L423" s="74"/>
      <c r="M423" s="74"/>
    </row>
    <row r="426" spans="9:15" ht="15.75" thickBot="1" x14ac:dyDescent="0.3"/>
    <row r="427" spans="9:15" x14ac:dyDescent="0.25">
      <c r="I427" s="75"/>
      <c r="J427" s="75"/>
      <c r="K427" s="75"/>
      <c r="L427" s="75"/>
      <c r="M427" s="75"/>
      <c r="N427" s="75"/>
      <c r="O427" s="75"/>
    </row>
    <row r="432" spans="9:15" ht="15.75" thickBot="1" x14ac:dyDescent="0.3">
      <c r="I432" s="74"/>
      <c r="J432" s="74"/>
      <c r="K432" s="74"/>
      <c r="L432" s="74"/>
      <c r="M432" s="74"/>
      <c r="N432" s="74"/>
      <c r="O432" s="74"/>
    </row>
  </sheetData>
  <mergeCells count="3">
    <mergeCell ref="A175:B175"/>
    <mergeCell ref="A200:B200"/>
    <mergeCell ref="T61:Y61"/>
  </mergeCells>
  <phoneticPr fontId="21" type="noConversion"/>
  <conditionalFormatting sqref="T116:T135">
    <cfRule type="containsText" dxfId="11" priority="1" operator="containsText" text="Crafting">
      <formula>NOT(ISERROR(SEARCH("Crafting",T116)))</formula>
    </cfRule>
    <cfRule type="containsText" dxfId="10" priority="2" operator="containsText" text="sewing">
      <formula>NOT(ISERROR(SEARCH("sewing",T116)))</formula>
    </cfRule>
    <cfRule type="containsText" dxfId="9" priority="3" operator="containsText" text="Crafting">
      <formula>NOT(ISERROR(SEARCH("Crafting",T116)))</formula>
    </cfRule>
  </conditionalFormatting>
  <conditionalFormatting sqref="U116">
    <cfRule type="colorScale" priority="18">
      <colorScale>
        <cfvo type="min"/>
        <cfvo type="max"/>
        <color rgb="FFFF7128"/>
        <color rgb="FFFFEF9C"/>
      </colorScale>
    </cfRule>
    <cfRule type="top10" dxfId="8" priority="28" rank="5"/>
    <cfRule type="cellIs" dxfId="7" priority="29" operator="greaterThan">
      <formula>11</formula>
    </cfRule>
  </conditionalFormatting>
  <conditionalFormatting sqref="U116:U135">
    <cfRule type="top10" dxfId="6" priority="13" rank="5"/>
    <cfRule type="top10" dxfId="5" priority="14" rank="10"/>
    <cfRule type="cellIs" dxfId="4" priority="15" operator="greaterThan">
      <formula>11</formula>
    </cfRule>
    <cfRule type="top10" dxfId="3" priority="16" rank="10"/>
    <cfRule type="cellIs" dxfId="2" priority="17" operator="greaterThan">
      <formula>11</formula>
    </cfRule>
  </conditionalFormatting>
  <conditionalFormatting sqref="V116:V135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" priority="19"/>
    <cfRule type="duplicateValues" priority="20"/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{6BA9D765-2089-41A5-9DE8-78215EEE8AA0}</x14:id>
        </ext>
      </extLst>
    </cfRule>
  </conditionalFormatting>
  <conditionalFormatting sqref="W116:W135">
    <cfRule type="duplicateValues" priority="21"/>
    <cfRule type="containsText" dxfId="0" priority="22" operator="containsText" text="cash">
      <formula>NOT(ISERROR(SEARCH("cash",W116)))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4:X8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{4AD15DB9-DA89-4334-8A5A-356A05298F58}</x14:id>
        </ext>
      </extLst>
    </cfRule>
  </conditionalFormatting>
  <conditionalFormatting sqref="X116:X135">
    <cfRule type="iconSet" priority="4">
      <iconSet iconSet="3Arrows">
        <cfvo type="percent" val="0"/>
        <cfvo type="num" val="300"/>
        <cfvo type="num" val="600"/>
      </iconSet>
    </cfRule>
    <cfRule type="iconSet" priority="8">
      <iconSet>
        <cfvo type="percent" val="0"/>
        <cfvo type="num" val="50"/>
        <cfvo type="num" val="100"/>
      </iconSet>
    </cfRule>
    <cfRule type="iconSet" priority="10">
      <iconSet>
        <cfvo type="percent" val="0"/>
        <cfvo type="num" val="500"/>
        <cfvo type="num" val="600"/>
      </iconSet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9D765-2089-41A5-9DE8-78215EEE8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V116:V135</xm:sqref>
        </x14:conditionalFormatting>
        <x14:conditionalFormatting xmlns:xm="http://schemas.microsoft.com/office/excel/2006/main">
          <x14:cfRule type="dataBar" id="{4AD15DB9-DA89-4334-8A5A-356A05298F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X64:X83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23691a3302@MITS.COM</dc:creator>
  <cp:lastModifiedBy>MITS</cp:lastModifiedBy>
  <dcterms:created xsi:type="dcterms:W3CDTF">2026-06-01T06:13:23Z</dcterms:created>
  <dcterms:modified xsi:type="dcterms:W3CDTF">2026-06-06T05:14:07Z</dcterms:modified>
</cp:coreProperties>
</file>