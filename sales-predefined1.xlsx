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Data\"/>
    </mc:Choice>
  </mc:AlternateContent>
  <xr:revisionPtr revIDLastSave="0" documentId="8_{D63E7D32-4609-464E-A96F-A83D71267BE2}" xr6:coauthVersionLast="47" xr6:coauthVersionMax="47" xr10:uidLastSave="{00000000-0000-0000-0000-000000000000}"/>
  <bookViews>
    <workbookView xWindow="-120" yWindow="-120" windowWidth="29040" windowHeight="15720" xr2:uid="{F08FF308-B3BE-4EC0-AEDF-08B98E2449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0" i="1" l="1"/>
  <c r="M200" i="1"/>
  <c r="L200" i="1"/>
  <c r="G200" i="1"/>
  <c r="H200" i="1" s="1"/>
  <c r="N199" i="1"/>
  <c r="M199" i="1"/>
  <c r="L199" i="1"/>
  <c r="G199" i="1"/>
  <c r="H199" i="1" s="1"/>
  <c r="N198" i="1"/>
  <c r="M198" i="1"/>
  <c r="L198" i="1"/>
  <c r="G198" i="1"/>
  <c r="H198" i="1" s="1"/>
  <c r="N197" i="1"/>
  <c r="M197" i="1"/>
  <c r="L197" i="1"/>
  <c r="G197" i="1"/>
  <c r="H197" i="1" s="1"/>
  <c r="N196" i="1"/>
  <c r="M196" i="1"/>
  <c r="L196" i="1"/>
  <c r="H196" i="1"/>
  <c r="G196" i="1"/>
  <c r="N195" i="1"/>
  <c r="M195" i="1"/>
  <c r="L195" i="1"/>
  <c r="G195" i="1"/>
  <c r="H195" i="1" s="1"/>
  <c r="N194" i="1"/>
  <c r="M194" i="1"/>
  <c r="L194" i="1"/>
  <c r="G194" i="1"/>
  <c r="H194" i="1" s="1"/>
  <c r="N193" i="1"/>
  <c r="M193" i="1"/>
  <c r="L193" i="1"/>
  <c r="G193" i="1"/>
  <c r="H193" i="1" s="1"/>
  <c r="N192" i="1"/>
  <c r="M192" i="1"/>
  <c r="L192" i="1"/>
  <c r="H192" i="1"/>
  <c r="G192" i="1"/>
  <c r="N191" i="1"/>
  <c r="M191" i="1"/>
  <c r="L191" i="1"/>
  <c r="G191" i="1"/>
  <c r="H191" i="1" s="1"/>
  <c r="N190" i="1"/>
  <c r="M190" i="1"/>
  <c r="L190" i="1"/>
  <c r="G190" i="1"/>
  <c r="H190" i="1" s="1"/>
  <c r="N189" i="1"/>
  <c r="M189" i="1"/>
  <c r="L189" i="1"/>
  <c r="G189" i="1"/>
  <c r="H189" i="1" s="1"/>
  <c r="N188" i="1"/>
  <c r="M188" i="1"/>
  <c r="L188" i="1"/>
  <c r="G188" i="1"/>
  <c r="H188" i="1" s="1"/>
  <c r="N187" i="1"/>
  <c r="M187" i="1"/>
  <c r="L187" i="1"/>
  <c r="G187" i="1"/>
  <c r="H187" i="1" s="1"/>
  <c r="N186" i="1"/>
  <c r="M186" i="1"/>
  <c r="L186" i="1"/>
  <c r="G186" i="1"/>
  <c r="H186" i="1" s="1"/>
  <c r="N185" i="1"/>
  <c r="M185" i="1"/>
  <c r="L185" i="1"/>
  <c r="H185" i="1"/>
  <c r="G185" i="1"/>
  <c r="N184" i="1"/>
  <c r="M184" i="1"/>
  <c r="L184" i="1"/>
  <c r="G184" i="1"/>
  <c r="H184" i="1" s="1"/>
  <c r="N183" i="1"/>
  <c r="M183" i="1"/>
  <c r="L183" i="1"/>
  <c r="H183" i="1"/>
  <c r="G183" i="1"/>
  <c r="N182" i="1"/>
  <c r="M182" i="1"/>
  <c r="L182" i="1"/>
  <c r="G182" i="1"/>
  <c r="H182" i="1" s="1"/>
  <c r="N181" i="1"/>
  <c r="M181" i="1"/>
  <c r="L181" i="1"/>
  <c r="H181" i="1"/>
  <c r="G181" i="1"/>
  <c r="N180" i="1"/>
  <c r="M180" i="1"/>
  <c r="L180" i="1"/>
  <c r="G180" i="1"/>
  <c r="H180" i="1" s="1"/>
  <c r="N179" i="1"/>
  <c r="M179" i="1"/>
  <c r="L179" i="1"/>
  <c r="G179" i="1"/>
  <c r="H179" i="1" s="1"/>
  <c r="N178" i="1"/>
  <c r="M178" i="1"/>
  <c r="L178" i="1"/>
  <c r="H178" i="1"/>
  <c r="G178" i="1"/>
  <c r="N177" i="1"/>
  <c r="M177" i="1"/>
  <c r="L177" i="1"/>
  <c r="G177" i="1"/>
  <c r="H177" i="1" s="1"/>
  <c r="N176" i="1"/>
  <c r="M176" i="1"/>
  <c r="L176" i="1"/>
  <c r="G176" i="1"/>
  <c r="H176" i="1" s="1"/>
  <c r="N175" i="1"/>
  <c r="M175" i="1"/>
  <c r="L175" i="1"/>
  <c r="G175" i="1"/>
  <c r="H175" i="1" s="1"/>
  <c r="N174" i="1"/>
  <c r="M174" i="1"/>
  <c r="L174" i="1"/>
  <c r="G174" i="1"/>
  <c r="H174" i="1" s="1"/>
  <c r="N173" i="1"/>
  <c r="M173" i="1"/>
  <c r="L173" i="1"/>
  <c r="G173" i="1"/>
  <c r="H173" i="1" s="1"/>
  <c r="N172" i="1"/>
  <c r="M172" i="1"/>
  <c r="L172" i="1"/>
  <c r="H172" i="1"/>
  <c r="G172" i="1"/>
  <c r="N171" i="1"/>
  <c r="M171" i="1"/>
  <c r="L171" i="1"/>
  <c r="G171" i="1"/>
  <c r="H171" i="1" s="1"/>
  <c r="N170" i="1"/>
  <c r="M170" i="1"/>
  <c r="L170" i="1"/>
  <c r="G170" i="1"/>
  <c r="H170" i="1" s="1"/>
  <c r="N169" i="1"/>
  <c r="M169" i="1"/>
  <c r="L169" i="1"/>
  <c r="G169" i="1"/>
  <c r="H169" i="1" s="1"/>
  <c r="N168" i="1"/>
  <c r="M168" i="1"/>
  <c r="L168" i="1"/>
  <c r="H168" i="1"/>
  <c r="G168" i="1"/>
  <c r="N167" i="1"/>
  <c r="M167" i="1"/>
  <c r="L167" i="1"/>
  <c r="H167" i="1"/>
  <c r="G167" i="1"/>
  <c r="N166" i="1"/>
  <c r="M166" i="1"/>
  <c r="L166" i="1"/>
  <c r="G166" i="1"/>
  <c r="H166" i="1" s="1"/>
  <c r="N165" i="1"/>
  <c r="M165" i="1"/>
  <c r="L165" i="1"/>
  <c r="G165" i="1"/>
  <c r="H165" i="1" s="1"/>
  <c r="N164" i="1"/>
  <c r="M164" i="1"/>
  <c r="L164" i="1"/>
  <c r="H164" i="1"/>
  <c r="G164" i="1"/>
  <c r="N163" i="1"/>
  <c r="M163" i="1"/>
  <c r="L163" i="1"/>
  <c r="G163" i="1"/>
  <c r="H163" i="1" s="1"/>
  <c r="N162" i="1"/>
  <c r="M162" i="1"/>
  <c r="L162" i="1"/>
  <c r="G162" i="1"/>
  <c r="H162" i="1" s="1"/>
  <c r="N161" i="1"/>
  <c r="M161" i="1"/>
  <c r="L161" i="1"/>
  <c r="H161" i="1"/>
  <c r="G161" i="1"/>
  <c r="N160" i="1"/>
  <c r="M160" i="1"/>
  <c r="L160" i="1"/>
  <c r="G160" i="1"/>
  <c r="H160" i="1" s="1"/>
  <c r="N159" i="1"/>
  <c r="M159" i="1"/>
  <c r="L159" i="1"/>
  <c r="H159" i="1"/>
  <c r="G159" i="1"/>
  <c r="N158" i="1"/>
  <c r="M158" i="1"/>
  <c r="L158" i="1"/>
  <c r="G158" i="1"/>
  <c r="H158" i="1" s="1"/>
  <c r="N157" i="1"/>
  <c r="M157" i="1"/>
  <c r="L157" i="1"/>
  <c r="H157" i="1"/>
  <c r="G157" i="1"/>
  <c r="N156" i="1"/>
  <c r="M156" i="1"/>
  <c r="L156" i="1"/>
  <c r="G156" i="1"/>
  <c r="H156" i="1" s="1"/>
  <c r="N155" i="1"/>
  <c r="M155" i="1"/>
  <c r="L155" i="1"/>
  <c r="H155" i="1"/>
  <c r="G155" i="1"/>
  <c r="N154" i="1"/>
  <c r="M154" i="1"/>
  <c r="L154" i="1"/>
  <c r="H154" i="1"/>
  <c r="G154" i="1"/>
  <c r="N153" i="1"/>
  <c r="M153" i="1"/>
  <c r="L153" i="1"/>
  <c r="G153" i="1"/>
  <c r="H153" i="1" s="1"/>
  <c r="N152" i="1"/>
  <c r="M152" i="1"/>
  <c r="L152" i="1"/>
  <c r="G152" i="1"/>
  <c r="H152" i="1" s="1"/>
  <c r="N151" i="1"/>
  <c r="M151" i="1"/>
  <c r="L151" i="1"/>
  <c r="G151" i="1"/>
  <c r="H151" i="1" s="1"/>
  <c r="N150" i="1"/>
  <c r="M150" i="1"/>
  <c r="L150" i="1"/>
  <c r="G150" i="1"/>
  <c r="H150" i="1" s="1"/>
  <c r="N149" i="1"/>
  <c r="M149" i="1"/>
  <c r="L149" i="1"/>
  <c r="G149" i="1"/>
  <c r="H149" i="1" s="1"/>
  <c r="N148" i="1"/>
  <c r="M148" i="1"/>
  <c r="L148" i="1"/>
  <c r="H148" i="1"/>
  <c r="G148" i="1"/>
  <c r="N147" i="1"/>
  <c r="M147" i="1"/>
  <c r="L147" i="1"/>
  <c r="G147" i="1"/>
  <c r="H147" i="1" s="1"/>
  <c r="N146" i="1"/>
  <c r="M146" i="1"/>
  <c r="L146" i="1"/>
  <c r="G146" i="1"/>
  <c r="H146" i="1" s="1"/>
  <c r="N145" i="1"/>
  <c r="M145" i="1"/>
  <c r="L145" i="1"/>
  <c r="G145" i="1"/>
  <c r="H145" i="1" s="1"/>
  <c r="N144" i="1"/>
  <c r="M144" i="1"/>
  <c r="L144" i="1"/>
  <c r="H144" i="1"/>
  <c r="G144" i="1"/>
  <c r="N143" i="1"/>
  <c r="M143" i="1"/>
  <c r="L143" i="1"/>
  <c r="H143" i="1"/>
  <c r="G143" i="1"/>
  <c r="N142" i="1"/>
  <c r="M142" i="1"/>
  <c r="L142" i="1"/>
  <c r="G142" i="1"/>
  <c r="H142" i="1" s="1"/>
  <c r="N141" i="1"/>
  <c r="M141" i="1"/>
  <c r="L141" i="1"/>
  <c r="G141" i="1"/>
  <c r="H141" i="1" s="1"/>
  <c r="N140" i="1"/>
  <c r="M140" i="1"/>
  <c r="L140" i="1"/>
  <c r="H140" i="1"/>
  <c r="G140" i="1"/>
  <c r="N139" i="1"/>
  <c r="M139" i="1"/>
  <c r="L139" i="1"/>
  <c r="G139" i="1"/>
  <c r="H139" i="1" s="1"/>
  <c r="N138" i="1"/>
  <c r="M138" i="1"/>
  <c r="L138" i="1"/>
  <c r="G138" i="1"/>
  <c r="H138" i="1" s="1"/>
  <c r="N137" i="1"/>
  <c r="M137" i="1"/>
  <c r="L137" i="1"/>
  <c r="H137" i="1"/>
  <c r="G137" i="1"/>
  <c r="N136" i="1"/>
  <c r="M136" i="1"/>
  <c r="L136" i="1"/>
  <c r="G136" i="1"/>
  <c r="H136" i="1" s="1"/>
  <c r="N135" i="1"/>
  <c r="M135" i="1"/>
  <c r="L135" i="1"/>
  <c r="H135" i="1"/>
  <c r="G135" i="1"/>
  <c r="N134" i="1"/>
  <c r="M134" i="1"/>
  <c r="L134" i="1"/>
  <c r="G134" i="1"/>
  <c r="H134" i="1" s="1"/>
  <c r="N133" i="1"/>
  <c r="M133" i="1"/>
  <c r="L133" i="1"/>
  <c r="H133" i="1"/>
  <c r="G133" i="1"/>
  <c r="N132" i="1"/>
  <c r="M132" i="1"/>
  <c r="L132" i="1"/>
  <c r="G132" i="1"/>
  <c r="H132" i="1" s="1"/>
  <c r="N131" i="1"/>
  <c r="M131" i="1"/>
  <c r="L131" i="1"/>
  <c r="H131" i="1"/>
  <c r="G131" i="1"/>
  <c r="N130" i="1"/>
  <c r="M130" i="1"/>
  <c r="L130" i="1"/>
  <c r="H130" i="1"/>
  <c r="G130" i="1"/>
  <c r="N129" i="1"/>
  <c r="M129" i="1"/>
  <c r="L129" i="1"/>
  <c r="G129" i="1"/>
  <c r="H129" i="1" s="1"/>
  <c r="N128" i="1"/>
  <c r="M128" i="1"/>
  <c r="L128" i="1"/>
  <c r="G128" i="1"/>
  <c r="H128" i="1" s="1"/>
  <c r="N127" i="1"/>
  <c r="M127" i="1"/>
  <c r="L127" i="1"/>
  <c r="G127" i="1"/>
  <c r="H127" i="1" s="1"/>
  <c r="N126" i="1"/>
  <c r="M126" i="1"/>
  <c r="L126" i="1"/>
  <c r="G126" i="1"/>
  <c r="H126" i="1" s="1"/>
  <c r="N125" i="1"/>
  <c r="M125" i="1"/>
  <c r="L125" i="1"/>
  <c r="G125" i="1"/>
  <c r="H125" i="1" s="1"/>
  <c r="N124" i="1"/>
  <c r="M124" i="1"/>
  <c r="L124" i="1"/>
  <c r="H124" i="1"/>
  <c r="G124" i="1"/>
  <c r="N123" i="1"/>
  <c r="M123" i="1"/>
  <c r="L123" i="1"/>
  <c r="G123" i="1"/>
  <c r="H123" i="1" s="1"/>
  <c r="N122" i="1"/>
  <c r="M122" i="1"/>
  <c r="L122" i="1"/>
  <c r="G122" i="1"/>
  <c r="H122" i="1" s="1"/>
  <c r="N121" i="1"/>
  <c r="M121" i="1"/>
  <c r="L121" i="1"/>
  <c r="G121" i="1"/>
  <c r="H121" i="1" s="1"/>
  <c r="N120" i="1"/>
  <c r="M120" i="1"/>
  <c r="L120" i="1"/>
  <c r="H120" i="1"/>
  <c r="G120" i="1"/>
  <c r="N119" i="1"/>
  <c r="M119" i="1"/>
  <c r="L119" i="1"/>
  <c r="H119" i="1"/>
  <c r="G119" i="1"/>
  <c r="N118" i="1"/>
  <c r="M118" i="1"/>
  <c r="L118" i="1"/>
  <c r="G118" i="1"/>
  <c r="H118" i="1" s="1"/>
  <c r="N117" i="1"/>
  <c r="M117" i="1"/>
  <c r="L117" i="1"/>
  <c r="G117" i="1"/>
  <c r="H117" i="1" s="1"/>
  <c r="N116" i="1"/>
  <c r="M116" i="1"/>
  <c r="L116" i="1"/>
  <c r="H116" i="1"/>
  <c r="G116" i="1"/>
  <c r="N115" i="1"/>
  <c r="M115" i="1"/>
  <c r="L115" i="1"/>
  <c r="G115" i="1"/>
  <c r="H115" i="1" s="1"/>
  <c r="N114" i="1"/>
  <c r="M114" i="1"/>
  <c r="L114" i="1"/>
  <c r="G114" i="1"/>
  <c r="H114" i="1" s="1"/>
  <c r="N113" i="1"/>
  <c r="M113" i="1"/>
  <c r="L113" i="1"/>
  <c r="H113" i="1"/>
  <c r="G113" i="1"/>
  <c r="N112" i="1"/>
  <c r="M112" i="1"/>
  <c r="L112" i="1"/>
  <c r="G112" i="1"/>
  <c r="H112" i="1" s="1"/>
  <c r="N111" i="1"/>
  <c r="M111" i="1"/>
  <c r="L111" i="1"/>
  <c r="H111" i="1"/>
  <c r="G111" i="1"/>
  <c r="N110" i="1"/>
  <c r="M110" i="1"/>
  <c r="L110" i="1"/>
  <c r="G110" i="1"/>
  <c r="H110" i="1" s="1"/>
  <c r="N109" i="1"/>
  <c r="M109" i="1"/>
  <c r="L109" i="1"/>
  <c r="H109" i="1"/>
  <c r="G109" i="1"/>
  <c r="N108" i="1"/>
  <c r="M108" i="1"/>
  <c r="L108" i="1"/>
  <c r="G108" i="1"/>
  <c r="H108" i="1" s="1"/>
  <c r="N107" i="1"/>
  <c r="M107" i="1"/>
  <c r="L107" i="1"/>
  <c r="H107" i="1"/>
  <c r="G107" i="1"/>
  <c r="N106" i="1"/>
  <c r="M106" i="1"/>
  <c r="L106" i="1"/>
  <c r="H106" i="1"/>
  <c r="G106" i="1"/>
  <c r="N105" i="1"/>
  <c r="M105" i="1"/>
  <c r="L105" i="1"/>
  <c r="G105" i="1"/>
  <c r="H105" i="1" s="1"/>
  <c r="N104" i="1"/>
  <c r="M104" i="1"/>
  <c r="L104" i="1"/>
  <c r="G104" i="1"/>
  <c r="H104" i="1" s="1"/>
  <c r="N103" i="1"/>
  <c r="M103" i="1"/>
  <c r="L103" i="1"/>
  <c r="G103" i="1"/>
  <c r="H103" i="1" s="1"/>
  <c r="N102" i="1"/>
  <c r="M102" i="1"/>
  <c r="L102" i="1"/>
  <c r="G102" i="1"/>
  <c r="H102" i="1" s="1"/>
  <c r="N101" i="1"/>
  <c r="M101" i="1"/>
  <c r="L101" i="1"/>
  <c r="G101" i="1"/>
  <c r="H101" i="1" s="1"/>
  <c r="N100" i="1"/>
  <c r="M100" i="1"/>
  <c r="L100" i="1"/>
  <c r="H100" i="1"/>
  <c r="G100" i="1"/>
  <c r="N99" i="1"/>
  <c r="M99" i="1"/>
  <c r="L99" i="1"/>
  <c r="G99" i="1"/>
  <c r="H99" i="1" s="1"/>
  <c r="N98" i="1"/>
  <c r="M98" i="1"/>
  <c r="L98" i="1"/>
  <c r="G98" i="1"/>
  <c r="H98" i="1" s="1"/>
  <c r="N97" i="1"/>
  <c r="M97" i="1"/>
  <c r="L97" i="1"/>
  <c r="G97" i="1"/>
  <c r="H97" i="1" s="1"/>
  <c r="N96" i="1"/>
  <c r="M96" i="1"/>
  <c r="L96" i="1"/>
  <c r="H96" i="1"/>
  <c r="G96" i="1"/>
  <c r="N95" i="1"/>
  <c r="M95" i="1"/>
  <c r="L95" i="1"/>
  <c r="H95" i="1"/>
  <c r="G95" i="1"/>
  <c r="N94" i="1"/>
  <c r="M94" i="1"/>
  <c r="L94" i="1"/>
  <c r="H94" i="1"/>
  <c r="G94" i="1"/>
  <c r="N93" i="1"/>
  <c r="M93" i="1"/>
  <c r="L93" i="1"/>
  <c r="G93" i="1"/>
  <c r="H93" i="1" s="1"/>
  <c r="N92" i="1"/>
  <c r="M92" i="1"/>
  <c r="L92" i="1"/>
  <c r="H92" i="1"/>
  <c r="G92" i="1"/>
  <c r="N91" i="1"/>
  <c r="M91" i="1"/>
  <c r="L91" i="1"/>
  <c r="G91" i="1"/>
  <c r="H91" i="1" s="1"/>
  <c r="N90" i="1"/>
  <c r="M90" i="1"/>
  <c r="L90" i="1"/>
  <c r="G90" i="1"/>
  <c r="H90" i="1" s="1"/>
  <c r="N89" i="1"/>
  <c r="M89" i="1"/>
  <c r="L89" i="1"/>
  <c r="H89" i="1"/>
  <c r="G89" i="1"/>
  <c r="N88" i="1"/>
  <c r="M88" i="1"/>
  <c r="L88" i="1"/>
  <c r="G88" i="1"/>
  <c r="H88" i="1" s="1"/>
  <c r="N87" i="1"/>
  <c r="M87" i="1"/>
  <c r="L87" i="1"/>
  <c r="H87" i="1"/>
  <c r="G87" i="1"/>
  <c r="N86" i="1"/>
  <c r="M86" i="1"/>
  <c r="L86" i="1"/>
  <c r="G86" i="1"/>
  <c r="H86" i="1" s="1"/>
  <c r="N85" i="1"/>
  <c r="M85" i="1"/>
  <c r="L85" i="1"/>
  <c r="H85" i="1"/>
  <c r="G85" i="1"/>
  <c r="N84" i="1"/>
  <c r="M84" i="1"/>
  <c r="L84" i="1"/>
  <c r="G84" i="1"/>
  <c r="H84" i="1" s="1"/>
  <c r="N83" i="1"/>
  <c r="M83" i="1"/>
  <c r="L83" i="1"/>
  <c r="H83" i="1"/>
  <c r="G83" i="1"/>
  <c r="N82" i="1"/>
  <c r="M82" i="1"/>
  <c r="L82" i="1"/>
  <c r="H82" i="1"/>
  <c r="G82" i="1"/>
  <c r="N81" i="1"/>
  <c r="M81" i="1"/>
  <c r="L81" i="1"/>
  <c r="G81" i="1"/>
  <c r="H81" i="1" s="1"/>
  <c r="N80" i="1"/>
  <c r="M80" i="1"/>
  <c r="L80" i="1"/>
  <c r="G80" i="1"/>
  <c r="H80" i="1" s="1"/>
  <c r="N79" i="1"/>
  <c r="M79" i="1"/>
  <c r="L79" i="1"/>
  <c r="G79" i="1"/>
  <c r="H79" i="1" s="1"/>
  <c r="N78" i="1"/>
  <c r="M78" i="1"/>
  <c r="L78" i="1"/>
  <c r="G78" i="1"/>
  <c r="H78" i="1" s="1"/>
  <c r="N77" i="1"/>
  <c r="M77" i="1"/>
  <c r="L77" i="1"/>
  <c r="G77" i="1"/>
  <c r="H77" i="1" s="1"/>
  <c r="N76" i="1"/>
  <c r="M76" i="1"/>
  <c r="L76" i="1"/>
  <c r="H76" i="1"/>
  <c r="G76" i="1"/>
  <c r="N75" i="1"/>
  <c r="M75" i="1"/>
  <c r="L75" i="1"/>
  <c r="G75" i="1"/>
  <c r="H75" i="1" s="1"/>
  <c r="N74" i="1"/>
  <c r="M74" i="1"/>
  <c r="L74" i="1"/>
  <c r="G74" i="1"/>
  <c r="H74" i="1" s="1"/>
  <c r="N73" i="1"/>
  <c r="M73" i="1"/>
  <c r="L73" i="1"/>
  <c r="G73" i="1"/>
  <c r="H73" i="1" s="1"/>
  <c r="N72" i="1"/>
  <c r="M72" i="1"/>
  <c r="L72" i="1"/>
  <c r="H72" i="1"/>
  <c r="G72" i="1"/>
  <c r="N71" i="1"/>
  <c r="M71" i="1"/>
  <c r="L71" i="1"/>
  <c r="H71" i="1"/>
  <c r="G71" i="1"/>
  <c r="N70" i="1"/>
  <c r="M70" i="1"/>
  <c r="L70" i="1"/>
  <c r="H70" i="1"/>
  <c r="G70" i="1"/>
  <c r="N69" i="1"/>
  <c r="M69" i="1"/>
  <c r="L69" i="1"/>
  <c r="G69" i="1"/>
  <c r="H69" i="1" s="1"/>
  <c r="N68" i="1"/>
  <c r="M68" i="1"/>
  <c r="L68" i="1"/>
  <c r="H68" i="1"/>
  <c r="G68" i="1"/>
  <c r="N67" i="1"/>
  <c r="M67" i="1"/>
  <c r="L67" i="1"/>
  <c r="G67" i="1"/>
  <c r="H67" i="1" s="1"/>
  <c r="N66" i="1"/>
  <c r="M66" i="1"/>
  <c r="L66" i="1"/>
  <c r="G66" i="1"/>
  <c r="H66" i="1" s="1"/>
  <c r="N65" i="1"/>
  <c r="M65" i="1"/>
  <c r="L65" i="1"/>
  <c r="H65" i="1"/>
  <c r="G65" i="1"/>
  <c r="N64" i="1"/>
  <c r="M64" i="1"/>
  <c r="L64" i="1"/>
  <c r="G64" i="1"/>
  <c r="H64" i="1" s="1"/>
  <c r="N63" i="1"/>
  <c r="M63" i="1"/>
  <c r="L63" i="1"/>
  <c r="H63" i="1"/>
  <c r="G63" i="1"/>
  <c r="N62" i="1"/>
  <c r="M62" i="1"/>
  <c r="L62" i="1"/>
  <c r="G62" i="1"/>
  <c r="H62" i="1" s="1"/>
  <c r="N61" i="1"/>
  <c r="M61" i="1"/>
  <c r="L61" i="1"/>
  <c r="H61" i="1"/>
  <c r="G61" i="1"/>
  <c r="N60" i="1"/>
  <c r="M60" i="1"/>
  <c r="L60" i="1"/>
  <c r="G60" i="1"/>
  <c r="H60" i="1" s="1"/>
  <c r="N59" i="1"/>
  <c r="M59" i="1"/>
  <c r="L59" i="1"/>
  <c r="H59" i="1"/>
  <c r="G59" i="1"/>
  <c r="N58" i="1"/>
  <c r="M58" i="1"/>
  <c r="L58" i="1"/>
  <c r="H58" i="1"/>
  <c r="G58" i="1"/>
  <c r="N57" i="1"/>
  <c r="M57" i="1"/>
  <c r="L57" i="1"/>
  <c r="G57" i="1"/>
  <c r="H57" i="1" s="1"/>
  <c r="N56" i="1"/>
  <c r="M56" i="1"/>
  <c r="L56" i="1"/>
  <c r="G56" i="1"/>
  <c r="H56" i="1" s="1"/>
  <c r="N55" i="1"/>
  <c r="M55" i="1"/>
  <c r="L55" i="1"/>
  <c r="G55" i="1"/>
  <c r="H55" i="1" s="1"/>
  <c r="N54" i="1"/>
  <c r="M54" i="1"/>
  <c r="L54" i="1"/>
  <c r="G54" i="1"/>
  <c r="H54" i="1" s="1"/>
  <c r="N53" i="1"/>
  <c r="M53" i="1"/>
  <c r="L53" i="1"/>
  <c r="G53" i="1"/>
  <c r="H53" i="1" s="1"/>
  <c r="N52" i="1"/>
  <c r="M52" i="1"/>
  <c r="L52" i="1"/>
  <c r="H52" i="1"/>
  <c r="G52" i="1"/>
  <c r="N51" i="1"/>
  <c r="M51" i="1"/>
  <c r="L51" i="1"/>
  <c r="G51" i="1"/>
  <c r="H51" i="1" s="1"/>
  <c r="N50" i="1"/>
  <c r="M50" i="1"/>
  <c r="L50" i="1"/>
  <c r="G50" i="1"/>
  <c r="H50" i="1" s="1"/>
  <c r="N49" i="1"/>
  <c r="M49" i="1"/>
  <c r="L49" i="1"/>
  <c r="G49" i="1"/>
  <c r="H49" i="1" s="1"/>
  <c r="N48" i="1"/>
  <c r="M48" i="1"/>
  <c r="L48" i="1"/>
  <c r="H48" i="1"/>
  <c r="G48" i="1"/>
  <c r="N47" i="1"/>
  <c r="M47" i="1"/>
  <c r="L47" i="1"/>
  <c r="H47" i="1"/>
  <c r="G47" i="1"/>
  <c r="N46" i="1"/>
  <c r="M46" i="1"/>
  <c r="L46" i="1"/>
  <c r="H46" i="1"/>
  <c r="G46" i="1"/>
  <c r="N45" i="1"/>
  <c r="M45" i="1"/>
  <c r="L45" i="1"/>
  <c r="G45" i="1"/>
  <c r="H45" i="1" s="1"/>
  <c r="N44" i="1"/>
  <c r="M44" i="1"/>
  <c r="L44" i="1"/>
  <c r="H44" i="1"/>
  <c r="G44" i="1"/>
  <c r="N43" i="1"/>
  <c r="M43" i="1"/>
  <c r="L43" i="1"/>
  <c r="G43" i="1"/>
  <c r="H43" i="1" s="1"/>
  <c r="N42" i="1"/>
  <c r="M42" i="1"/>
  <c r="L42" i="1"/>
  <c r="G42" i="1"/>
  <c r="H42" i="1" s="1"/>
  <c r="N41" i="1"/>
  <c r="M41" i="1"/>
  <c r="L41" i="1"/>
  <c r="H41" i="1"/>
  <c r="G41" i="1"/>
  <c r="N40" i="1"/>
  <c r="M40" i="1"/>
  <c r="L40" i="1"/>
  <c r="G40" i="1"/>
  <c r="H40" i="1" s="1"/>
  <c r="N39" i="1"/>
  <c r="M39" i="1"/>
  <c r="L39" i="1"/>
  <c r="H39" i="1"/>
  <c r="G39" i="1"/>
  <c r="N38" i="1"/>
  <c r="M38" i="1"/>
  <c r="L38" i="1"/>
  <c r="G38" i="1"/>
  <c r="H38" i="1" s="1"/>
  <c r="N37" i="1"/>
  <c r="M37" i="1"/>
  <c r="L37" i="1"/>
  <c r="H37" i="1"/>
  <c r="G37" i="1"/>
  <c r="N36" i="1"/>
  <c r="M36" i="1"/>
  <c r="L36" i="1"/>
  <c r="G36" i="1"/>
  <c r="H36" i="1" s="1"/>
  <c r="N35" i="1"/>
  <c r="M35" i="1"/>
  <c r="L35" i="1"/>
  <c r="H35" i="1"/>
  <c r="G35" i="1"/>
  <c r="N34" i="1"/>
  <c r="M34" i="1"/>
  <c r="L34" i="1"/>
  <c r="H34" i="1"/>
  <c r="G34" i="1"/>
  <c r="N33" i="1"/>
  <c r="M33" i="1"/>
  <c r="L33" i="1"/>
  <c r="G33" i="1"/>
  <c r="H33" i="1" s="1"/>
  <c r="N32" i="1"/>
  <c r="M32" i="1"/>
  <c r="L32" i="1"/>
  <c r="G32" i="1"/>
  <c r="H32" i="1" s="1"/>
  <c r="N31" i="1"/>
  <c r="M31" i="1"/>
  <c r="L31" i="1"/>
  <c r="G31" i="1"/>
  <c r="H31" i="1" s="1"/>
  <c r="N30" i="1"/>
  <c r="M30" i="1"/>
  <c r="L30" i="1"/>
  <c r="G30" i="1"/>
  <c r="H30" i="1" s="1"/>
  <c r="N29" i="1"/>
  <c r="M29" i="1"/>
  <c r="L29" i="1"/>
  <c r="G29" i="1"/>
  <c r="H29" i="1" s="1"/>
  <c r="N28" i="1"/>
  <c r="M28" i="1"/>
  <c r="L28" i="1"/>
  <c r="H28" i="1"/>
  <c r="G28" i="1"/>
  <c r="N27" i="1"/>
  <c r="M27" i="1"/>
  <c r="L27" i="1"/>
  <c r="G27" i="1"/>
  <c r="H27" i="1" s="1"/>
  <c r="N26" i="1"/>
  <c r="M26" i="1"/>
  <c r="L26" i="1"/>
  <c r="G26" i="1"/>
  <c r="H26" i="1" s="1"/>
  <c r="N25" i="1"/>
  <c r="M25" i="1"/>
  <c r="L25" i="1"/>
  <c r="G25" i="1"/>
  <c r="H25" i="1" s="1"/>
  <c r="N24" i="1"/>
  <c r="M24" i="1"/>
  <c r="L24" i="1"/>
  <c r="H24" i="1"/>
  <c r="G24" i="1"/>
  <c r="N23" i="1"/>
  <c r="M23" i="1"/>
  <c r="L23" i="1"/>
  <c r="H23" i="1"/>
  <c r="G23" i="1"/>
  <c r="N22" i="1"/>
  <c r="M22" i="1"/>
  <c r="L22" i="1"/>
  <c r="H22" i="1"/>
  <c r="G22" i="1"/>
  <c r="N21" i="1"/>
  <c r="M21" i="1"/>
  <c r="L21" i="1"/>
  <c r="G21" i="1"/>
  <c r="H21" i="1" s="1"/>
  <c r="N20" i="1"/>
  <c r="M20" i="1"/>
  <c r="L20" i="1"/>
  <c r="G20" i="1"/>
  <c r="H20" i="1" s="1"/>
  <c r="N19" i="1"/>
  <c r="M19" i="1"/>
  <c r="L19" i="1"/>
  <c r="G19" i="1"/>
  <c r="H19" i="1" s="1"/>
  <c r="N18" i="1"/>
  <c r="M18" i="1"/>
  <c r="L18" i="1"/>
  <c r="G18" i="1"/>
  <c r="H18" i="1" s="1"/>
  <c r="N17" i="1"/>
  <c r="M17" i="1"/>
  <c r="L17" i="1"/>
  <c r="H17" i="1"/>
  <c r="G17" i="1"/>
  <c r="N16" i="1"/>
  <c r="M16" i="1"/>
  <c r="L16" i="1"/>
  <c r="G16" i="1"/>
  <c r="H16" i="1" s="1"/>
  <c r="N15" i="1"/>
  <c r="M15" i="1"/>
  <c r="L15" i="1"/>
  <c r="H15" i="1"/>
  <c r="G15" i="1"/>
  <c r="N14" i="1"/>
  <c r="M14" i="1"/>
  <c r="L14" i="1"/>
  <c r="G14" i="1"/>
  <c r="H14" i="1" s="1"/>
  <c r="N13" i="1"/>
  <c r="M13" i="1"/>
  <c r="L13" i="1"/>
  <c r="H13" i="1"/>
  <c r="G13" i="1"/>
  <c r="N12" i="1"/>
  <c r="M12" i="1"/>
  <c r="L12" i="1"/>
  <c r="G12" i="1"/>
  <c r="H12" i="1" s="1"/>
  <c r="N11" i="1"/>
  <c r="M11" i="1"/>
  <c r="L11" i="1"/>
  <c r="H11" i="1"/>
  <c r="G11" i="1"/>
  <c r="N10" i="1"/>
  <c r="M10" i="1"/>
  <c r="L10" i="1"/>
  <c r="H10" i="1"/>
  <c r="G10" i="1"/>
  <c r="N9" i="1"/>
  <c r="M9" i="1"/>
  <c r="L9" i="1"/>
  <c r="G9" i="1"/>
  <c r="H9" i="1" s="1"/>
  <c r="N8" i="1"/>
  <c r="M8" i="1"/>
  <c r="L8" i="1"/>
  <c r="G8" i="1"/>
  <c r="H8" i="1" s="1"/>
  <c r="N7" i="1"/>
  <c r="M7" i="1"/>
  <c r="L7" i="1"/>
  <c r="G7" i="1"/>
  <c r="H7" i="1" s="1"/>
  <c r="N6" i="1"/>
  <c r="M6" i="1"/>
  <c r="L6" i="1"/>
  <c r="G6" i="1"/>
  <c r="H6" i="1" s="1"/>
  <c r="N5" i="1"/>
  <c r="M5" i="1"/>
  <c r="L5" i="1"/>
  <c r="K5" i="1"/>
  <c r="J5" i="1"/>
  <c r="I5" i="1"/>
  <c r="G5" i="1"/>
  <c r="H5" i="1" s="1"/>
  <c r="N4" i="1"/>
  <c r="M4" i="1"/>
  <c r="L4" i="1"/>
  <c r="H4" i="1"/>
  <c r="G4" i="1"/>
  <c r="N3" i="1"/>
  <c r="M3" i="1"/>
  <c r="L3" i="1"/>
  <c r="G3" i="1"/>
  <c r="H3" i="1" s="1"/>
  <c r="N2" i="1"/>
  <c r="M2" i="1"/>
  <c r="L2" i="1"/>
  <c r="K2" i="1"/>
  <c r="J2" i="1"/>
  <c r="I2" i="1"/>
  <c r="G2" i="1"/>
  <c r="H2" i="1" s="1"/>
</calcChain>
</file>

<file path=xl/sharedStrings.xml><?xml version="1.0" encoding="utf-8"?>
<sst xmlns="http://schemas.openxmlformats.org/spreadsheetml/2006/main" count="813" uniqueCount="43">
  <si>
    <t>Branch</t>
  </si>
  <si>
    <t>Category</t>
  </si>
  <si>
    <t>Sub_Category</t>
  </si>
  <si>
    <t>Price</t>
  </si>
  <si>
    <t>Cost_Price</t>
  </si>
  <si>
    <t>Payment_Type</t>
  </si>
  <si>
    <t>round</t>
  </si>
  <si>
    <t>square root</t>
  </si>
  <si>
    <t>min</t>
  </si>
  <si>
    <t>max</t>
  </si>
  <si>
    <t>sum</t>
  </si>
  <si>
    <t>left</t>
  </si>
  <si>
    <t>right</t>
  </si>
  <si>
    <t>length</t>
  </si>
  <si>
    <t>Austin-Texas</t>
  </si>
  <si>
    <t>Arts &amp; Crafts</t>
  </si>
  <si>
    <t>Crafting</t>
  </si>
  <si>
    <t>Cash</t>
  </si>
  <si>
    <t>median</t>
  </si>
  <si>
    <t>rank</t>
  </si>
  <si>
    <t>average</t>
  </si>
  <si>
    <t>ATM card</t>
  </si>
  <si>
    <t>San Francisco-Carlifornia</t>
  </si>
  <si>
    <t>Houston-Texas</t>
  </si>
  <si>
    <t>Buffalo-New York</t>
  </si>
  <si>
    <t>Mobile payment</t>
  </si>
  <si>
    <t>Fabric</t>
  </si>
  <si>
    <t>Fabric Decorating</t>
  </si>
  <si>
    <t>Gift Wrapping Supplies</t>
  </si>
  <si>
    <t>Knitting &amp; Crochet</t>
  </si>
  <si>
    <t>Model &amp; Hobby Building</t>
  </si>
  <si>
    <t>Needlework</t>
  </si>
  <si>
    <t>Organization, Storage &amp; Transport</t>
  </si>
  <si>
    <t>Sparks-Nevada</t>
  </si>
  <si>
    <t>Painting, Drawing &amp; Art Supplies</t>
  </si>
  <si>
    <t>Party Decorations &amp; Supplies</t>
  </si>
  <si>
    <t>Printmaking</t>
  </si>
  <si>
    <t>Scrapbooking &amp; Stamping</t>
  </si>
  <si>
    <t>Sewing</t>
  </si>
  <si>
    <t>Automotive</t>
  </si>
  <si>
    <t>Car Electronics &amp; Accessories</t>
  </si>
  <si>
    <t>Exterior Accessories</t>
  </si>
  <si>
    <t>Interior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</si>
</sst>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DB3FC-CEAF-4AB8-8393-7937322D8095}">
  <dimension ref="A1:N200"/>
  <sheetViews>
    <sheetView tabSelected="1" workbookViewId="0">
      <selection activeCell="P18" sqref="P18"/>
    </sheetView>
  </sheetViews>
  <sheetFormatPr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16</v>
      </c>
      <c r="D2">
        <v>13.27</v>
      </c>
      <c r="E2">
        <v>11.539998800720999</v>
      </c>
      <c r="F2" t="s">
        <v>17</v>
      </c>
      <c r="G2">
        <f>ROUND(D2,1)</f>
        <v>13.3</v>
      </c>
      <c r="H2">
        <f>SQRT(G2)</f>
        <v>3.646916505762094</v>
      </c>
      <c r="I2">
        <f>MIN(D:D)</f>
        <v>1.69</v>
      </c>
      <c r="J2">
        <f>MAX(D:D)</f>
        <v>129</v>
      </c>
      <c r="K2">
        <f>SUM(D:D)</f>
        <v>2981.5299999999934</v>
      </c>
      <c r="L2" t="str">
        <f>LEFT(C2,3)</f>
        <v>Cra</v>
      </c>
      <c r="M2" t="str">
        <f>RIGHT(C2,2)</f>
        <v>ng</v>
      </c>
      <c r="N2">
        <f>LEN(C2)</f>
        <v>8</v>
      </c>
    </row>
    <row r="3" spans="1:14" x14ac:dyDescent="0.25">
      <c r="A3" t="s">
        <v>14</v>
      </c>
      <c r="B3" t="s">
        <v>15</v>
      </c>
      <c r="C3" t="s">
        <v>16</v>
      </c>
      <c r="D3">
        <v>6.79</v>
      </c>
      <c r="E3">
        <v>6.1873028678125399</v>
      </c>
      <c r="F3" t="s">
        <v>17</v>
      </c>
      <c r="G3">
        <f t="shared" ref="G3:G66" si="0">ROUND(D3,1)</f>
        <v>6.8</v>
      </c>
      <c r="H3">
        <f t="shared" ref="H3:H66" si="1">SQRT(G3)</f>
        <v>2.6076809620810595</v>
      </c>
      <c r="L3" t="str">
        <f t="shared" ref="L3:L66" si="2">LEFT(C3,3)</f>
        <v>Cra</v>
      </c>
      <c r="M3" t="str">
        <f t="shared" ref="M3:M66" si="3">RIGHT(C3,2)</f>
        <v>ng</v>
      </c>
      <c r="N3">
        <f t="shared" ref="N3:N66" si="4">LEN(C3)</f>
        <v>8</v>
      </c>
    </row>
    <row r="4" spans="1:14" x14ac:dyDescent="0.25">
      <c r="A4" t="s">
        <v>14</v>
      </c>
      <c r="B4" t="s">
        <v>15</v>
      </c>
      <c r="C4" t="s">
        <v>16</v>
      </c>
      <c r="D4">
        <v>34.99</v>
      </c>
      <c r="E4">
        <v>32.9315991707848</v>
      </c>
      <c r="F4" t="s">
        <v>17</v>
      </c>
      <c r="G4">
        <f t="shared" si="0"/>
        <v>35</v>
      </c>
      <c r="H4">
        <f t="shared" si="1"/>
        <v>5.9160797830996161</v>
      </c>
      <c r="I4" s="1" t="s">
        <v>18</v>
      </c>
      <c r="J4" s="1" t="s">
        <v>19</v>
      </c>
      <c r="K4" s="1" t="s">
        <v>20</v>
      </c>
      <c r="L4" t="str">
        <f t="shared" si="2"/>
        <v>Cra</v>
      </c>
      <c r="M4" t="str">
        <f t="shared" si="3"/>
        <v>ng</v>
      </c>
      <c r="N4">
        <f t="shared" si="4"/>
        <v>8</v>
      </c>
    </row>
    <row r="5" spans="1:14" x14ac:dyDescent="0.25">
      <c r="A5" t="s">
        <v>14</v>
      </c>
      <c r="B5" t="s">
        <v>15</v>
      </c>
      <c r="C5" t="s">
        <v>16</v>
      </c>
      <c r="D5">
        <v>16.16</v>
      </c>
      <c r="E5">
        <v>14.6347990936824</v>
      </c>
      <c r="F5" t="s">
        <v>21</v>
      </c>
      <c r="G5">
        <f t="shared" si="0"/>
        <v>16.2</v>
      </c>
      <c r="H5">
        <f t="shared" si="1"/>
        <v>4.0249223594996213</v>
      </c>
      <c r="I5">
        <f>MEDIAN(D:D)</f>
        <v>12.95</v>
      </c>
      <c r="J5">
        <f>RANK(D8,D:D)</f>
        <v>19</v>
      </c>
      <c r="K5">
        <f>AVERAGE(D:D)</f>
        <v>14.982562814070318</v>
      </c>
      <c r="L5" t="str">
        <f t="shared" si="2"/>
        <v>Cra</v>
      </c>
      <c r="M5" t="str">
        <f t="shared" si="3"/>
        <v>ng</v>
      </c>
      <c r="N5">
        <f t="shared" si="4"/>
        <v>8</v>
      </c>
    </row>
    <row r="6" spans="1:14" x14ac:dyDescent="0.25">
      <c r="A6" t="s">
        <v>22</v>
      </c>
      <c r="B6" t="s">
        <v>15</v>
      </c>
      <c r="C6" t="s">
        <v>16</v>
      </c>
      <c r="D6">
        <v>15.18</v>
      </c>
      <c r="E6">
        <v>13.0251265620665</v>
      </c>
      <c r="F6" t="s">
        <v>17</v>
      </c>
      <c r="G6">
        <f t="shared" si="0"/>
        <v>15.2</v>
      </c>
      <c r="H6">
        <f t="shared" si="1"/>
        <v>3.8987177379235853</v>
      </c>
      <c r="L6" t="str">
        <f t="shared" si="2"/>
        <v>Cra</v>
      </c>
      <c r="M6" t="str">
        <f t="shared" si="3"/>
        <v>ng</v>
      </c>
      <c r="N6">
        <f t="shared" si="4"/>
        <v>8</v>
      </c>
    </row>
    <row r="7" spans="1:14" x14ac:dyDescent="0.25">
      <c r="A7" t="s">
        <v>23</v>
      </c>
      <c r="B7" t="s">
        <v>15</v>
      </c>
      <c r="C7" t="s">
        <v>16</v>
      </c>
      <c r="D7">
        <v>6.99</v>
      </c>
      <c r="E7">
        <v>6.0214702896113597</v>
      </c>
      <c r="F7" t="s">
        <v>21</v>
      </c>
      <c r="G7">
        <f t="shared" si="0"/>
        <v>7</v>
      </c>
      <c r="H7">
        <f t="shared" si="1"/>
        <v>2.6457513110645907</v>
      </c>
      <c r="I7" s="1"/>
      <c r="L7" t="str">
        <f t="shared" si="2"/>
        <v>Cra</v>
      </c>
      <c r="M7" t="str">
        <f t="shared" si="3"/>
        <v>ng</v>
      </c>
      <c r="N7">
        <f t="shared" si="4"/>
        <v>8</v>
      </c>
    </row>
    <row r="8" spans="1:14" x14ac:dyDescent="0.25">
      <c r="A8" t="s">
        <v>24</v>
      </c>
      <c r="B8" t="s">
        <v>15</v>
      </c>
      <c r="C8" t="s">
        <v>16</v>
      </c>
      <c r="D8">
        <v>25.99</v>
      </c>
      <c r="E8">
        <v>24.3317485773747</v>
      </c>
      <c r="F8" t="s">
        <v>17</v>
      </c>
      <c r="G8">
        <f t="shared" si="0"/>
        <v>26</v>
      </c>
      <c r="H8">
        <f t="shared" si="1"/>
        <v>5.0990195135927845</v>
      </c>
      <c r="L8" t="str">
        <f t="shared" si="2"/>
        <v>Cra</v>
      </c>
      <c r="M8" t="str">
        <f t="shared" si="3"/>
        <v>ng</v>
      </c>
      <c r="N8">
        <f t="shared" si="4"/>
        <v>8</v>
      </c>
    </row>
    <row r="9" spans="1:14" x14ac:dyDescent="0.25">
      <c r="A9" t="s">
        <v>22</v>
      </c>
      <c r="B9" t="s">
        <v>15</v>
      </c>
      <c r="C9" t="s">
        <v>16</v>
      </c>
      <c r="D9">
        <v>7.99</v>
      </c>
      <c r="E9">
        <v>7.3756176258308503</v>
      </c>
      <c r="F9" t="s">
        <v>17</v>
      </c>
      <c r="G9">
        <f t="shared" si="0"/>
        <v>8</v>
      </c>
      <c r="H9">
        <f t="shared" si="1"/>
        <v>2.8284271247461903</v>
      </c>
      <c r="L9" t="str">
        <f t="shared" si="2"/>
        <v>Cra</v>
      </c>
      <c r="M9" t="str">
        <f t="shared" si="3"/>
        <v>ng</v>
      </c>
      <c r="N9">
        <f t="shared" si="4"/>
        <v>8</v>
      </c>
    </row>
    <row r="10" spans="1:14" x14ac:dyDescent="0.25">
      <c r="A10" t="s">
        <v>22</v>
      </c>
      <c r="B10" t="s">
        <v>15</v>
      </c>
      <c r="C10" t="s">
        <v>16</v>
      </c>
      <c r="D10">
        <v>2.99</v>
      </c>
      <c r="E10">
        <v>2.67080947261142</v>
      </c>
      <c r="F10" t="s">
        <v>21</v>
      </c>
      <c r="G10">
        <f t="shared" si="0"/>
        <v>3</v>
      </c>
      <c r="H10">
        <f t="shared" si="1"/>
        <v>1.7320508075688772</v>
      </c>
      <c r="L10" t="str">
        <f t="shared" si="2"/>
        <v>Cra</v>
      </c>
      <c r="M10" t="str">
        <f t="shared" si="3"/>
        <v>ng</v>
      </c>
      <c r="N10">
        <f t="shared" si="4"/>
        <v>8</v>
      </c>
    </row>
    <row r="11" spans="1:14" x14ac:dyDescent="0.25">
      <c r="A11" t="s">
        <v>22</v>
      </c>
      <c r="B11" t="s">
        <v>15</v>
      </c>
      <c r="C11" t="s">
        <v>16</v>
      </c>
      <c r="D11">
        <v>8.2200000000000006</v>
      </c>
      <c r="E11">
        <v>7.1067749314435504</v>
      </c>
      <c r="F11" t="s">
        <v>17</v>
      </c>
      <c r="G11">
        <f t="shared" si="0"/>
        <v>8.1999999999999993</v>
      </c>
      <c r="H11">
        <f t="shared" si="1"/>
        <v>2.8635642126552705</v>
      </c>
      <c r="L11" t="str">
        <f t="shared" si="2"/>
        <v>Cra</v>
      </c>
      <c r="M11" t="str">
        <f t="shared" si="3"/>
        <v>ng</v>
      </c>
      <c r="N11">
        <f t="shared" si="4"/>
        <v>8</v>
      </c>
    </row>
    <row r="12" spans="1:14" x14ac:dyDescent="0.25">
      <c r="A12" t="s">
        <v>14</v>
      </c>
      <c r="B12" t="s">
        <v>15</v>
      </c>
      <c r="C12" t="s">
        <v>16</v>
      </c>
      <c r="D12">
        <v>5.95</v>
      </c>
      <c r="E12">
        <v>5.4161116395069504</v>
      </c>
      <c r="F12" t="s">
        <v>17</v>
      </c>
      <c r="G12">
        <f t="shared" si="0"/>
        <v>6</v>
      </c>
      <c r="H12">
        <f t="shared" si="1"/>
        <v>2.4494897427831779</v>
      </c>
      <c r="L12" t="str">
        <f t="shared" si="2"/>
        <v>Cra</v>
      </c>
      <c r="M12" t="str">
        <f t="shared" si="3"/>
        <v>ng</v>
      </c>
      <c r="N12">
        <f t="shared" si="4"/>
        <v>8</v>
      </c>
    </row>
    <row r="13" spans="1:14" x14ac:dyDescent="0.25">
      <c r="A13" t="s">
        <v>23</v>
      </c>
      <c r="B13" t="s">
        <v>15</v>
      </c>
      <c r="C13" t="s">
        <v>16</v>
      </c>
      <c r="D13">
        <v>10.44</v>
      </c>
      <c r="E13">
        <v>9.2361940355201302</v>
      </c>
      <c r="F13" t="s">
        <v>21</v>
      </c>
      <c r="G13">
        <f t="shared" si="0"/>
        <v>10.4</v>
      </c>
      <c r="H13">
        <f t="shared" si="1"/>
        <v>3.2249030993194201</v>
      </c>
      <c r="L13" t="str">
        <f t="shared" si="2"/>
        <v>Cra</v>
      </c>
      <c r="M13" t="str">
        <f t="shared" si="3"/>
        <v>ng</v>
      </c>
      <c r="N13">
        <f t="shared" si="4"/>
        <v>8</v>
      </c>
    </row>
    <row r="14" spans="1:14" x14ac:dyDescent="0.25">
      <c r="A14" t="s">
        <v>14</v>
      </c>
      <c r="B14" t="s">
        <v>15</v>
      </c>
      <c r="C14" t="s">
        <v>16</v>
      </c>
      <c r="D14">
        <v>16.88</v>
      </c>
      <c r="E14">
        <v>14.3844222825145</v>
      </c>
      <c r="F14" t="s">
        <v>17</v>
      </c>
      <c r="G14">
        <f t="shared" si="0"/>
        <v>16.899999999999999</v>
      </c>
      <c r="H14">
        <f t="shared" si="1"/>
        <v>4.1109609582188931</v>
      </c>
      <c r="L14" t="str">
        <f t="shared" si="2"/>
        <v>Cra</v>
      </c>
      <c r="M14" t="str">
        <f t="shared" si="3"/>
        <v>ng</v>
      </c>
      <c r="N14">
        <f t="shared" si="4"/>
        <v>8</v>
      </c>
    </row>
    <row r="15" spans="1:14" x14ac:dyDescent="0.25">
      <c r="A15" t="s">
        <v>24</v>
      </c>
      <c r="B15" t="s">
        <v>15</v>
      </c>
      <c r="C15" t="s">
        <v>16</v>
      </c>
      <c r="D15">
        <v>6.99</v>
      </c>
      <c r="E15">
        <v>6.1582511117471803</v>
      </c>
      <c r="F15" t="s">
        <v>17</v>
      </c>
      <c r="G15">
        <f t="shared" si="0"/>
        <v>7</v>
      </c>
      <c r="H15">
        <f t="shared" si="1"/>
        <v>2.6457513110645907</v>
      </c>
      <c r="L15" t="str">
        <f t="shared" si="2"/>
        <v>Cra</v>
      </c>
      <c r="M15" t="str">
        <f t="shared" si="3"/>
        <v>ng</v>
      </c>
      <c r="N15">
        <f t="shared" si="4"/>
        <v>8</v>
      </c>
    </row>
    <row r="16" spans="1:14" x14ac:dyDescent="0.25">
      <c r="A16" t="s">
        <v>23</v>
      </c>
      <c r="B16" t="s">
        <v>15</v>
      </c>
      <c r="C16" t="s">
        <v>16</v>
      </c>
      <c r="D16">
        <v>14.99</v>
      </c>
      <c r="E16">
        <v>14.0347737853361</v>
      </c>
      <c r="F16" t="s">
        <v>21</v>
      </c>
      <c r="G16">
        <f t="shared" si="0"/>
        <v>15</v>
      </c>
      <c r="H16">
        <f t="shared" si="1"/>
        <v>3.872983346207417</v>
      </c>
      <c r="L16" t="str">
        <f t="shared" si="2"/>
        <v>Cra</v>
      </c>
      <c r="M16" t="str">
        <f t="shared" si="3"/>
        <v>ng</v>
      </c>
      <c r="N16">
        <f t="shared" si="4"/>
        <v>8</v>
      </c>
    </row>
    <row r="17" spans="1:14" x14ac:dyDescent="0.25">
      <c r="A17" t="s">
        <v>22</v>
      </c>
      <c r="B17" t="s">
        <v>15</v>
      </c>
      <c r="C17" t="s">
        <v>16</v>
      </c>
      <c r="D17">
        <v>12.49</v>
      </c>
      <c r="E17">
        <v>11.088755568577</v>
      </c>
      <c r="F17" t="s">
        <v>25</v>
      </c>
      <c r="G17">
        <f t="shared" si="0"/>
        <v>12.5</v>
      </c>
      <c r="H17">
        <f t="shared" si="1"/>
        <v>3.5355339059327378</v>
      </c>
      <c r="L17" t="str">
        <f t="shared" si="2"/>
        <v>Cra</v>
      </c>
      <c r="M17" t="str">
        <f t="shared" si="3"/>
        <v>ng</v>
      </c>
      <c r="N17">
        <f t="shared" si="4"/>
        <v>8</v>
      </c>
    </row>
    <row r="18" spans="1:14" x14ac:dyDescent="0.25">
      <c r="A18" t="s">
        <v>14</v>
      </c>
      <c r="B18" t="s">
        <v>15</v>
      </c>
      <c r="C18" t="s">
        <v>16</v>
      </c>
      <c r="D18">
        <v>7.99</v>
      </c>
      <c r="E18">
        <v>7.4222338708557096</v>
      </c>
      <c r="F18" t="s">
        <v>17</v>
      </c>
      <c r="G18">
        <f t="shared" si="0"/>
        <v>8</v>
      </c>
      <c r="H18">
        <f t="shared" si="1"/>
        <v>2.8284271247461903</v>
      </c>
      <c r="L18" t="str">
        <f t="shared" si="2"/>
        <v>Cra</v>
      </c>
      <c r="M18" t="str">
        <f t="shared" si="3"/>
        <v>ng</v>
      </c>
      <c r="N18">
        <f t="shared" si="4"/>
        <v>8</v>
      </c>
    </row>
    <row r="19" spans="1:14" x14ac:dyDescent="0.25">
      <c r="A19" t="s">
        <v>14</v>
      </c>
      <c r="B19" t="s">
        <v>15</v>
      </c>
      <c r="C19" t="s">
        <v>16</v>
      </c>
      <c r="D19">
        <v>14.97</v>
      </c>
      <c r="E19">
        <v>14.201831447502199</v>
      </c>
      <c r="F19" t="s">
        <v>17</v>
      </c>
      <c r="G19">
        <f t="shared" si="0"/>
        <v>15</v>
      </c>
      <c r="H19">
        <f t="shared" si="1"/>
        <v>3.872983346207417</v>
      </c>
      <c r="L19" t="str">
        <f t="shared" si="2"/>
        <v>Cra</v>
      </c>
      <c r="M19" t="str">
        <f t="shared" si="3"/>
        <v>ng</v>
      </c>
      <c r="N19">
        <f t="shared" si="4"/>
        <v>8</v>
      </c>
    </row>
    <row r="20" spans="1:14" x14ac:dyDescent="0.25">
      <c r="A20" t="s">
        <v>23</v>
      </c>
      <c r="B20" t="s">
        <v>15</v>
      </c>
      <c r="C20" t="s">
        <v>16</v>
      </c>
      <c r="D20">
        <v>4.75</v>
      </c>
      <c r="E20">
        <v>4.3331722374248498</v>
      </c>
      <c r="F20" t="s">
        <v>17</v>
      </c>
      <c r="G20">
        <f t="shared" si="0"/>
        <v>4.8</v>
      </c>
      <c r="H20">
        <f t="shared" si="1"/>
        <v>2.1908902300206643</v>
      </c>
      <c r="L20" t="str">
        <f t="shared" si="2"/>
        <v>Cra</v>
      </c>
      <c r="M20" t="str">
        <f t="shared" si="3"/>
        <v>ng</v>
      </c>
      <c r="N20">
        <f t="shared" si="4"/>
        <v>8</v>
      </c>
    </row>
    <row r="21" spans="1:14" x14ac:dyDescent="0.25">
      <c r="A21" t="s">
        <v>14</v>
      </c>
      <c r="B21" t="s">
        <v>15</v>
      </c>
      <c r="C21" t="s">
        <v>16</v>
      </c>
      <c r="D21">
        <v>16.100000000000001</v>
      </c>
      <c r="E21">
        <v>14.716136675268199</v>
      </c>
      <c r="F21" t="s">
        <v>17</v>
      </c>
      <c r="G21">
        <f t="shared" si="0"/>
        <v>16.100000000000001</v>
      </c>
      <c r="H21">
        <f t="shared" si="1"/>
        <v>4.0124805295477763</v>
      </c>
      <c r="L21" t="str">
        <f t="shared" si="2"/>
        <v>Cra</v>
      </c>
      <c r="M21" t="str">
        <f t="shared" si="3"/>
        <v>ng</v>
      </c>
      <c r="N21">
        <f t="shared" si="4"/>
        <v>8</v>
      </c>
    </row>
    <row r="22" spans="1:14" x14ac:dyDescent="0.25">
      <c r="A22" t="s">
        <v>22</v>
      </c>
      <c r="B22" t="s">
        <v>15</v>
      </c>
      <c r="C22" t="s">
        <v>16</v>
      </c>
      <c r="D22">
        <v>10.99</v>
      </c>
      <c r="E22">
        <v>9.6389069478143306</v>
      </c>
      <c r="F22" t="s">
        <v>17</v>
      </c>
      <c r="G22">
        <f t="shared" si="0"/>
        <v>11</v>
      </c>
      <c r="H22">
        <f t="shared" si="1"/>
        <v>3.3166247903553998</v>
      </c>
      <c r="L22" t="str">
        <f t="shared" si="2"/>
        <v>Cra</v>
      </c>
      <c r="M22" t="str">
        <f t="shared" si="3"/>
        <v>ng</v>
      </c>
      <c r="N22">
        <f t="shared" si="4"/>
        <v>8</v>
      </c>
    </row>
    <row r="23" spans="1:14" x14ac:dyDescent="0.25">
      <c r="A23" t="s">
        <v>14</v>
      </c>
      <c r="B23" t="s">
        <v>15</v>
      </c>
      <c r="C23" t="s">
        <v>26</v>
      </c>
      <c r="D23">
        <v>17.59</v>
      </c>
      <c r="E23">
        <v>16.054744314438501</v>
      </c>
      <c r="F23" t="s">
        <v>21</v>
      </c>
      <c r="G23">
        <f t="shared" si="0"/>
        <v>17.600000000000001</v>
      </c>
      <c r="H23">
        <f t="shared" si="1"/>
        <v>4.1952353926806065</v>
      </c>
      <c r="L23" t="str">
        <f t="shared" si="2"/>
        <v>Fab</v>
      </c>
      <c r="M23" t="str">
        <f t="shared" si="3"/>
        <v>ic</v>
      </c>
      <c r="N23">
        <f t="shared" si="4"/>
        <v>6</v>
      </c>
    </row>
    <row r="24" spans="1:14" x14ac:dyDescent="0.25">
      <c r="A24" t="s">
        <v>22</v>
      </c>
      <c r="B24" t="s">
        <v>15</v>
      </c>
      <c r="C24" t="s">
        <v>26</v>
      </c>
      <c r="D24">
        <v>5.98</v>
      </c>
      <c r="E24">
        <v>5.1961314078878997</v>
      </c>
      <c r="F24" t="s">
        <v>21</v>
      </c>
      <c r="G24">
        <f t="shared" si="0"/>
        <v>6</v>
      </c>
      <c r="H24">
        <f t="shared" si="1"/>
        <v>2.4494897427831779</v>
      </c>
      <c r="L24" t="str">
        <f t="shared" si="2"/>
        <v>Fab</v>
      </c>
      <c r="M24" t="str">
        <f t="shared" si="3"/>
        <v>ic</v>
      </c>
      <c r="N24">
        <f t="shared" si="4"/>
        <v>6</v>
      </c>
    </row>
    <row r="25" spans="1:14" x14ac:dyDescent="0.25">
      <c r="A25" t="s">
        <v>14</v>
      </c>
      <c r="B25" t="s">
        <v>15</v>
      </c>
      <c r="C25" t="s">
        <v>26</v>
      </c>
      <c r="D25">
        <v>13.99</v>
      </c>
      <c r="E25">
        <v>13.2867699759299</v>
      </c>
      <c r="F25" t="s">
        <v>17</v>
      </c>
      <c r="G25">
        <f t="shared" si="0"/>
        <v>14</v>
      </c>
      <c r="H25">
        <f t="shared" si="1"/>
        <v>3.7416573867739413</v>
      </c>
      <c r="L25" t="str">
        <f t="shared" si="2"/>
        <v>Fab</v>
      </c>
      <c r="M25" t="str">
        <f t="shared" si="3"/>
        <v>ic</v>
      </c>
      <c r="N25">
        <f t="shared" si="4"/>
        <v>6</v>
      </c>
    </row>
    <row r="26" spans="1:14" x14ac:dyDescent="0.25">
      <c r="A26" t="s">
        <v>24</v>
      </c>
      <c r="B26" t="s">
        <v>15</v>
      </c>
      <c r="C26" t="s">
        <v>26</v>
      </c>
      <c r="D26">
        <v>16.28</v>
      </c>
      <c r="E26">
        <v>14.348579895213501</v>
      </c>
      <c r="F26" t="s">
        <v>21</v>
      </c>
      <c r="G26">
        <f t="shared" si="0"/>
        <v>16.3</v>
      </c>
      <c r="H26">
        <f t="shared" si="1"/>
        <v>4.0373258476372698</v>
      </c>
      <c r="L26" t="str">
        <f t="shared" si="2"/>
        <v>Fab</v>
      </c>
      <c r="M26" t="str">
        <f t="shared" si="3"/>
        <v>ic</v>
      </c>
      <c r="N26">
        <f t="shared" si="4"/>
        <v>6</v>
      </c>
    </row>
    <row r="27" spans="1:14" x14ac:dyDescent="0.25">
      <c r="A27" t="s">
        <v>14</v>
      </c>
      <c r="B27" t="s">
        <v>15</v>
      </c>
      <c r="C27" t="s">
        <v>27</v>
      </c>
      <c r="D27">
        <v>16.47</v>
      </c>
      <c r="E27">
        <v>15.501082479930799</v>
      </c>
      <c r="F27" t="s">
        <v>17</v>
      </c>
      <c r="G27">
        <f t="shared" si="0"/>
        <v>16.5</v>
      </c>
      <c r="H27">
        <f t="shared" si="1"/>
        <v>4.0620192023179804</v>
      </c>
      <c r="L27" t="str">
        <f t="shared" si="2"/>
        <v>Fab</v>
      </c>
      <c r="M27" t="str">
        <f t="shared" si="3"/>
        <v>ng</v>
      </c>
      <c r="N27">
        <f t="shared" si="4"/>
        <v>17</v>
      </c>
    </row>
    <row r="28" spans="1:14" x14ac:dyDescent="0.25">
      <c r="A28" t="s">
        <v>14</v>
      </c>
      <c r="B28" t="s">
        <v>15</v>
      </c>
      <c r="C28" t="s">
        <v>27</v>
      </c>
      <c r="D28">
        <v>9.09</v>
      </c>
      <c r="E28">
        <v>8.5282511466276194</v>
      </c>
      <c r="F28" t="s">
        <v>21</v>
      </c>
      <c r="G28">
        <f t="shared" si="0"/>
        <v>9.1</v>
      </c>
      <c r="H28">
        <f t="shared" si="1"/>
        <v>3.0166206257996713</v>
      </c>
      <c r="L28" t="str">
        <f t="shared" si="2"/>
        <v>Fab</v>
      </c>
      <c r="M28" t="str">
        <f t="shared" si="3"/>
        <v>ng</v>
      </c>
      <c r="N28">
        <f t="shared" si="4"/>
        <v>17</v>
      </c>
    </row>
    <row r="29" spans="1:14" x14ac:dyDescent="0.25">
      <c r="A29" t="s">
        <v>22</v>
      </c>
      <c r="B29" t="s">
        <v>15</v>
      </c>
      <c r="C29" t="s">
        <v>27</v>
      </c>
      <c r="D29">
        <v>14.8</v>
      </c>
      <c r="E29">
        <v>13.2931491873433</v>
      </c>
      <c r="F29" t="s">
        <v>17</v>
      </c>
      <c r="G29">
        <f t="shared" si="0"/>
        <v>14.8</v>
      </c>
      <c r="H29">
        <f t="shared" si="1"/>
        <v>3.8470768123342691</v>
      </c>
      <c r="L29" t="str">
        <f t="shared" si="2"/>
        <v>Fab</v>
      </c>
      <c r="M29" t="str">
        <f t="shared" si="3"/>
        <v>ng</v>
      </c>
      <c r="N29">
        <f t="shared" si="4"/>
        <v>17</v>
      </c>
    </row>
    <row r="30" spans="1:14" x14ac:dyDescent="0.25">
      <c r="A30" t="s">
        <v>14</v>
      </c>
      <c r="B30" t="s">
        <v>15</v>
      </c>
      <c r="C30" t="s">
        <v>27</v>
      </c>
      <c r="D30">
        <v>19.79</v>
      </c>
      <c r="E30">
        <v>18.214202281095002</v>
      </c>
      <c r="F30" t="s">
        <v>21</v>
      </c>
      <c r="G30">
        <f t="shared" si="0"/>
        <v>19.8</v>
      </c>
      <c r="H30">
        <f t="shared" si="1"/>
        <v>4.4497190922573981</v>
      </c>
      <c r="L30" t="str">
        <f t="shared" si="2"/>
        <v>Fab</v>
      </c>
      <c r="M30" t="str">
        <f t="shared" si="3"/>
        <v>ng</v>
      </c>
      <c r="N30">
        <f t="shared" si="4"/>
        <v>17</v>
      </c>
    </row>
    <row r="31" spans="1:14" x14ac:dyDescent="0.25">
      <c r="A31" t="s">
        <v>24</v>
      </c>
      <c r="B31" t="s">
        <v>15</v>
      </c>
      <c r="C31" t="s">
        <v>27</v>
      </c>
      <c r="D31">
        <v>18.98</v>
      </c>
      <c r="E31">
        <v>16.506319071968601</v>
      </c>
      <c r="F31" t="s">
        <v>21</v>
      </c>
      <c r="G31">
        <f t="shared" si="0"/>
        <v>19</v>
      </c>
      <c r="H31">
        <f t="shared" si="1"/>
        <v>4.358898943540674</v>
      </c>
      <c r="L31" t="str">
        <f t="shared" si="2"/>
        <v>Fab</v>
      </c>
      <c r="M31" t="str">
        <f t="shared" si="3"/>
        <v>ng</v>
      </c>
      <c r="N31">
        <f t="shared" si="4"/>
        <v>17</v>
      </c>
    </row>
    <row r="32" spans="1:14" x14ac:dyDescent="0.25">
      <c r="A32" t="s">
        <v>24</v>
      </c>
      <c r="B32" t="s">
        <v>15</v>
      </c>
      <c r="C32" t="s">
        <v>28</v>
      </c>
      <c r="D32">
        <v>13.69</v>
      </c>
      <c r="E32">
        <v>12.4862735985378</v>
      </c>
      <c r="F32" t="s">
        <v>21</v>
      </c>
      <c r="G32">
        <f t="shared" si="0"/>
        <v>13.7</v>
      </c>
      <c r="H32">
        <f t="shared" si="1"/>
        <v>3.7013511046643495</v>
      </c>
      <c r="L32" t="str">
        <f t="shared" si="2"/>
        <v>Gif</v>
      </c>
      <c r="M32" t="str">
        <f t="shared" si="3"/>
        <v>es</v>
      </c>
      <c r="N32">
        <f t="shared" si="4"/>
        <v>22</v>
      </c>
    </row>
    <row r="33" spans="1:14" x14ac:dyDescent="0.25">
      <c r="A33" t="s">
        <v>22</v>
      </c>
      <c r="B33" t="s">
        <v>15</v>
      </c>
      <c r="C33" t="s">
        <v>28</v>
      </c>
      <c r="D33">
        <v>7.99</v>
      </c>
      <c r="E33">
        <v>7.5090960553334503</v>
      </c>
      <c r="F33" t="s">
        <v>17</v>
      </c>
      <c r="G33">
        <f t="shared" si="0"/>
        <v>8</v>
      </c>
      <c r="H33">
        <f t="shared" si="1"/>
        <v>2.8284271247461903</v>
      </c>
      <c r="L33" t="str">
        <f t="shared" si="2"/>
        <v>Gif</v>
      </c>
      <c r="M33" t="str">
        <f t="shared" si="3"/>
        <v>es</v>
      </c>
      <c r="N33">
        <f t="shared" si="4"/>
        <v>22</v>
      </c>
    </row>
    <row r="34" spans="1:14" x14ac:dyDescent="0.25">
      <c r="A34" t="s">
        <v>14</v>
      </c>
      <c r="B34" t="s">
        <v>15</v>
      </c>
      <c r="C34" t="s">
        <v>28</v>
      </c>
      <c r="D34">
        <v>25.99</v>
      </c>
      <c r="E34">
        <v>22.266528526312701</v>
      </c>
      <c r="F34" t="s">
        <v>17</v>
      </c>
      <c r="G34">
        <f t="shared" si="0"/>
        <v>26</v>
      </c>
      <c r="H34">
        <f t="shared" si="1"/>
        <v>5.0990195135927845</v>
      </c>
      <c r="L34" t="str">
        <f t="shared" si="2"/>
        <v>Gif</v>
      </c>
      <c r="M34" t="str">
        <f t="shared" si="3"/>
        <v>es</v>
      </c>
      <c r="N34">
        <f t="shared" si="4"/>
        <v>22</v>
      </c>
    </row>
    <row r="35" spans="1:14" x14ac:dyDescent="0.25">
      <c r="A35" t="s">
        <v>14</v>
      </c>
      <c r="B35" t="s">
        <v>15</v>
      </c>
      <c r="C35" t="s">
        <v>28</v>
      </c>
      <c r="D35">
        <v>21.99</v>
      </c>
      <c r="E35">
        <v>20.412429971224</v>
      </c>
      <c r="F35" t="s">
        <v>17</v>
      </c>
      <c r="G35">
        <f t="shared" si="0"/>
        <v>22</v>
      </c>
      <c r="H35">
        <f t="shared" si="1"/>
        <v>4.6904157598234297</v>
      </c>
      <c r="L35" t="str">
        <f t="shared" si="2"/>
        <v>Gif</v>
      </c>
      <c r="M35" t="str">
        <f t="shared" si="3"/>
        <v>es</v>
      </c>
      <c r="N35">
        <f t="shared" si="4"/>
        <v>22</v>
      </c>
    </row>
    <row r="36" spans="1:14" x14ac:dyDescent="0.25">
      <c r="A36" t="s">
        <v>22</v>
      </c>
      <c r="B36" t="s">
        <v>15</v>
      </c>
      <c r="C36" t="s">
        <v>28</v>
      </c>
      <c r="D36">
        <v>6.5</v>
      </c>
      <c r="E36">
        <v>5.9030077767381997</v>
      </c>
      <c r="F36" t="s">
        <v>21</v>
      </c>
      <c r="G36">
        <f t="shared" si="0"/>
        <v>6.5</v>
      </c>
      <c r="H36">
        <f t="shared" si="1"/>
        <v>2.5495097567963922</v>
      </c>
      <c r="L36" t="str">
        <f t="shared" si="2"/>
        <v>Gif</v>
      </c>
      <c r="M36" t="str">
        <f t="shared" si="3"/>
        <v>es</v>
      </c>
      <c r="N36">
        <f t="shared" si="4"/>
        <v>22</v>
      </c>
    </row>
    <row r="37" spans="1:14" x14ac:dyDescent="0.25">
      <c r="A37" t="s">
        <v>14</v>
      </c>
      <c r="B37" t="s">
        <v>15</v>
      </c>
      <c r="C37" t="s">
        <v>28</v>
      </c>
      <c r="D37">
        <v>4.99</v>
      </c>
      <c r="E37">
        <v>4.7392507130982002</v>
      </c>
      <c r="F37" t="s">
        <v>17</v>
      </c>
      <c r="G37">
        <f t="shared" si="0"/>
        <v>5</v>
      </c>
      <c r="H37">
        <f t="shared" si="1"/>
        <v>2.2360679774997898</v>
      </c>
      <c r="L37" t="str">
        <f t="shared" si="2"/>
        <v>Gif</v>
      </c>
      <c r="M37" t="str">
        <f t="shared" si="3"/>
        <v>es</v>
      </c>
      <c r="N37">
        <f t="shared" si="4"/>
        <v>22</v>
      </c>
    </row>
    <row r="38" spans="1:14" x14ac:dyDescent="0.25">
      <c r="A38" t="s">
        <v>24</v>
      </c>
      <c r="B38" t="s">
        <v>15</v>
      </c>
      <c r="C38" t="s">
        <v>28</v>
      </c>
      <c r="D38">
        <v>11.99</v>
      </c>
      <c r="E38">
        <v>10.4505355148715</v>
      </c>
      <c r="F38" t="s">
        <v>21</v>
      </c>
      <c r="G38">
        <f t="shared" si="0"/>
        <v>12</v>
      </c>
      <c r="H38">
        <f t="shared" si="1"/>
        <v>3.4641016151377544</v>
      </c>
      <c r="L38" t="str">
        <f t="shared" si="2"/>
        <v>Gif</v>
      </c>
      <c r="M38" t="str">
        <f t="shared" si="3"/>
        <v>es</v>
      </c>
      <c r="N38">
        <f t="shared" si="4"/>
        <v>22</v>
      </c>
    </row>
    <row r="39" spans="1:14" x14ac:dyDescent="0.25">
      <c r="A39" t="s">
        <v>22</v>
      </c>
      <c r="B39" t="s">
        <v>15</v>
      </c>
      <c r="C39" t="s">
        <v>28</v>
      </c>
      <c r="D39">
        <v>9.99</v>
      </c>
      <c r="E39">
        <v>9.0734385128335795</v>
      </c>
      <c r="F39" t="s">
        <v>21</v>
      </c>
      <c r="G39">
        <f t="shared" si="0"/>
        <v>10</v>
      </c>
      <c r="H39">
        <f t="shared" si="1"/>
        <v>3.1622776601683795</v>
      </c>
      <c r="L39" t="str">
        <f t="shared" si="2"/>
        <v>Gif</v>
      </c>
      <c r="M39" t="str">
        <f t="shared" si="3"/>
        <v>es</v>
      </c>
      <c r="N39">
        <f t="shared" si="4"/>
        <v>22</v>
      </c>
    </row>
    <row r="40" spans="1:14" x14ac:dyDescent="0.25">
      <c r="A40" t="s">
        <v>23</v>
      </c>
      <c r="B40" t="s">
        <v>15</v>
      </c>
      <c r="C40" t="s">
        <v>28</v>
      </c>
      <c r="D40">
        <v>5.95</v>
      </c>
      <c r="E40">
        <v>5.2935753917681403</v>
      </c>
      <c r="F40" t="s">
        <v>17</v>
      </c>
      <c r="G40">
        <f t="shared" si="0"/>
        <v>6</v>
      </c>
      <c r="H40">
        <f t="shared" si="1"/>
        <v>2.4494897427831779</v>
      </c>
      <c r="L40" t="str">
        <f t="shared" si="2"/>
        <v>Gif</v>
      </c>
      <c r="M40" t="str">
        <f t="shared" si="3"/>
        <v>es</v>
      </c>
      <c r="N40">
        <f t="shared" si="4"/>
        <v>22</v>
      </c>
    </row>
    <row r="41" spans="1:14" x14ac:dyDescent="0.25">
      <c r="A41" t="s">
        <v>24</v>
      </c>
      <c r="B41" t="s">
        <v>15</v>
      </c>
      <c r="C41" t="s">
        <v>28</v>
      </c>
      <c r="D41">
        <v>8.4600000000000009</v>
      </c>
      <c r="E41">
        <v>7.8605215258018397</v>
      </c>
      <c r="F41" t="s">
        <v>21</v>
      </c>
      <c r="G41">
        <f t="shared" si="0"/>
        <v>8.5</v>
      </c>
      <c r="H41">
        <f t="shared" si="1"/>
        <v>2.9154759474226504</v>
      </c>
      <c r="L41" t="str">
        <f t="shared" si="2"/>
        <v>Gif</v>
      </c>
      <c r="M41" t="str">
        <f t="shared" si="3"/>
        <v>es</v>
      </c>
      <c r="N41">
        <f t="shared" si="4"/>
        <v>22</v>
      </c>
    </row>
    <row r="42" spans="1:14" x14ac:dyDescent="0.25">
      <c r="A42" t="s">
        <v>22</v>
      </c>
      <c r="B42" t="s">
        <v>15</v>
      </c>
      <c r="C42" t="s">
        <v>28</v>
      </c>
      <c r="D42">
        <v>5.97</v>
      </c>
      <c r="E42">
        <v>5.2694424223627498</v>
      </c>
      <c r="F42" t="s">
        <v>17</v>
      </c>
      <c r="G42">
        <f t="shared" si="0"/>
        <v>6</v>
      </c>
      <c r="H42">
        <f t="shared" si="1"/>
        <v>2.4494897427831779</v>
      </c>
      <c r="L42" t="str">
        <f t="shared" si="2"/>
        <v>Gif</v>
      </c>
      <c r="M42" t="str">
        <f t="shared" si="3"/>
        <v>es</v>
      </c>
      <c r="N42">
        <f t="shared" si="4"/>
        <v>22</v>
      </c>
    </row>
    <row r="43" spans="1:14" x14ac:dyDescent="0.25">
      <c r="A43" t="s">
        <v>14</v>
      </c>
      <c r="B43" t="s">
        <v>15</v>
      </c>
      <c r="C43" t="s">
        <v>28</v>
      </c>
      <c r="D43">
        <v>8.99</v>
      </c>
      <c r="E43">
        <v>7.7934825662873797</v>
      </c>
      <c r="F43" t="s">
        <v>17</v>
      </c>
      <c r="G43">
        <f t="shared" si="0"/>
        <v>9</v>
      </c>
      <c r="H43">
        <f t="shared" si="1"/>
        <v>3</v>
      </c>
      <c r="L43" t="str">
        <f t="shared" si="2"/>
        <v>Gif</v>
      </c>
      <c r="M43" t="str">
        <f t="shared" si="3"/>
        <v>es</v>
      </c>
      <c r="N43">
        <f t="shared" si="4"/>
        <v>22</v>
      </c>
    </row>
    <row r="44" spans="1:14" x14ac:dyDescent="0.25">
      <c r="A44" t="s">
        <v>23</v>
      </c>
      <c r="B44" t="s">
        <v>15</v>
      </c>
      <c r="C44" t="s">
        <v>28</v>
      </c>
      <c r="D44">
        <v>6.99</v>
      </c>
      <c r="E44">
        <v>6.4241384830357902</v>
      </c>
      <c r="F44" t="s">
        <v>21</v>
      </c>
      <c r="G44">
        <f t="shared" si="0"/>
        <v>7</v>
      </c>
      <c r="H44">
        <f t="shared" si="1"/>
        <v>2.6457513110645907</v>
      </c>
      <c r="L44" t="str">
        <f t="shared" si="2"/>
        <v>Gif</v>
      </c>
      <c r="M44" t="str">
        <f t="shared" si="3"/>
        <v>es</v>
      </c>
      <c r="N44">
        <f t="shared" si="4"/>
        <v>22</v>
      </c>
    </row>
    <row r="45" spans="1:14" x14ac:dyDescent="0.25">
      <c r="A45" t="s">
        <v>24</v>
      </c>
      <c r="B45" t="s">
        <v>15</v>
      </c>
      <c r="C45" t="s">
        <v>28</v>
      </c>
      <c r="D45">
        <v>9.99</v>
      </c>
      <c r="E45">
        <v>9.0411293512741899</v>
      </c>
      <c r="F45" t="s">
        <v>21</v>
      </c>
      <c r="G45">
        <f t="shared" si="0"/>
        <v>10</v>
      </c>
      <c r="H45">
        <f t="shared" si="1"/>
        <v>3.1622776601683795</v>
      </c>
      <c r="L45" t="str">
        <f t="shared" si="2"/>
        <v>Gif</v>
      </c>
      <c r="M45" t="str">
        <f t="shared" si="3"/>
        <v>es</v>
      </c>
      <c r="N45">
        <f t="shared" si="4"/>
        <v>22</v>
      </c>
    </row>
    <row r="46" spans="1:14" x14ac:dyDescent="0.25">
      <c r="A46" t="s">
        <v>22</v>
      </c>
      <c r="B46" t="s">
        <v>15</v>
      </c>
      <c r="C46" t="s">
        <v>28</v>
      </c>
      <c r="D46">
        <v>8.7899999999999991</v>
      </c>
      <c r="E46">
        <v>8.1837265590230004</v>
      </c>
      <c r="F46" t="s">
        <v>21</v>
      </c>
      <c r="G46">
        <f t="shared" si="0"/>
        <v>8.8000000000000007</v>
      </c>
      <c r="H46">
        <f t="shared" si="1"/>
        <v>2.9664793948382653</v>
      </c>
      <c r="L46" t="str">
        <f t="shared" si="2"/>
        <v>Gif</v>
      </c>
      <c r="M46" t="str">
        <f t="shared" si="3"/>
        <v>es</v>
      </c>
      <c r="N46">
        <f t="shared" si="4"/>
        <v>22</v>
      </c>
    </row>
    <row r="47" spans="1:14" x14ac:dyDescent="0.25">
      <c r="A47" t="s">
        <v>14</v>
      </c>
      <c r="B47" t="s">
        <v>15</v>
      </c>
      <c r="C47" t="s">
        <v>29</v>
      </c>
      <c r="D47">
        <v>17.989999999999998</v>
      </c>
      <c r="E47">
        <v>15.4153836118493</v>
      </c>
      <c r="F47" t="s">
        <v>17</v>
      </c>
      <c r="G47">
        <f t="shared" si="0"/>
        <v>18</v>
      </c>
      <c r="H47">
        <f t="shared" si="1"/>
        <v>4.2426406871192848</v>
      </c>
      <c r="L47" t="str">
        <f t="shared" si="2"/>
        <v>Kni</v>
      </c>
      <c r="M47" t="str">
        <f t="shared" si="3"/>
        <v>et</v>
      </c>
      <c r="N47">
        <f t="shared" si="4"/>
        <v>18</v>
      </c>
    </row>
    <row r="48" spans="1:14" x14ac:dyDescent="0.25">
      <c r="A48" t="s">
        <v>24</v>
      </c>
      <c r="B48" t="s">
        <v>15</v>
      </c>
      <c r="C48" t="s">
        <v>29</v>
      </c>
      <c r="D48">
        <v>10.95</v>
      </c>
      <c r="E48">
        <v>10.362149710096601</v>
      </c>
      <c r="F48" t="s">
        <v>17</v>
      </c>
      <c r="G48">
        <f t="shared" si="0"/>
        <v>11</v>
      </c>
      <c r="H48">
        <f t="shared" si="1"/>
        <v>3.3166247903553998</v>
      </c>
      <c r="L48" t="str">
        <f t="shared" si="2"/>
        <v>Kni</v>
      </c>
      <c r="M48" t="str">
        <f t="shared" si="3"/>
        <v>et</v>
      </c>
      <c r="N48">
        <f t="shared" si="4"/>
        <v>18</v>
      </c>
    </row>
    <row r="49" spans="1:14" x14ac:dyDescent="0.25">
      <c r="A49" t="s">
        <v>14</v>
      </c>
      <c r="B49" t="s">
        <v>15</v>
      </c>
      <c r="C49" t="s">
        <v>29</v>
      </c>
      <c r="D49">
        <v>7.77</v>
      </c>
      <c r="E49">
        <v>6.8542673235616203</v>
      </c>
      <c r="F49" t="s">
        <v>17</v>
      </c>
      <c r="G49">
        <f t="shared" si="0"/>
        <v>7.8</v>
      </c>
      <c r="H49">
        <f t="shared" si="1"/>
        <v>2.7928480087537881</v>
      </c>
      <c r="L49" t="str">
        <f t="shared" si="2"/>
        <v>Kni</v>
      </c>
      <c r="M49" t="str">
        <f t="shared" si="3"/>
        <v>et</v>
      </c>
      <c r="N49">
        <f t="shared" si="4"/>
        <v>18</v>
      </c>
    </row>
    <row r="50" spans="1:14" x14ac:dyDescent="0.25">
      <c r="A50" t="s">
        <v>22</v>
      </c>
      <c r="B50" t="s">
        <v>15</v>
      </c>
      <c r="C50" t="s">
        <v>29</v>
      </c>
      <c r="D50">
        <v>4.12</v>
      </c>
      <c r="E50">
        <v>3.6765919848617798</v>
      </c>
      <c r="F50" t="s">
        <v>17</v>
      </c>
      <c r="G50">
        <f t="shared" si="0"/>
        <v>4.0999999999999996</v>
      </c>
      <c r="H50">
        <f t="shared" si="1"/>
        <v>2.0248456731316584</v>
      </c>
      <c r="L50" t="str">
        <f t="shared" si="2"/>
        <v>Kni</v>
      </c>
      <c r="M50" t="str">
        <f t="shared" si="3"/>
        <v>et</v>
      </c>
      <c r="N50">
        <f t="shared" si="4"/>
        <v>18</v>
      </c>
    </row>
    <row r="51" spans="1:14" x14ac:dyDescent="0.25">
      <c r="A51" t="s">
        <v>22</v>
      </c>
      <c r="B51" t="s">
        <v>15</v>
      </c>
      <c r="C51" t="s">
        <v>29</v>
      </c>
      <c r="D51">
        <v>16.54</v>
      </c>
      <c r="E51">
        <v>15.308821983464</v>
      </c>
      <c r="F51" t="s">
        <v>17</v>
      </c>
      <c r="G51">
        <f t="shared" si="0"/>
        <v>16.5</v>
      </c>
      <c r="H51">
        <f t="shared" si="1"/>
        <v>4.0620192023179804</v>
      </c>
      <c r="L51" t="str">
        <f t="shared" si="2"/>
        <v>Kni</v>
      </c>
      <c r="M51" t="str">
        <f t="shared" si="3"/>
        <v>et</v>
      </c>
      <c r="N51">
        <f t="shared" si="4"/>
        <v>18</v>
      </c>
    </row>
    <row r="52" spans="1:14" x14ac:dyDescent="0.25">
      <c r="A52" t="s">
        <v>22</v>
      </c>
      <c r="B52" t="s">
        <v>15</v>
      </c>
      <c r="C52" t="s">
        <v>29</v>
      </c>
      <c r="D52">
        <v>3.48</v>
      </c>
      <c r="E52">
        <v>3.0749528830231698</v>
      </c>
      <c r="F52" t="s">
        <v>21</v>
      </c>
      <c r="G52">
        <f t="shared" si="0"/>
        <v>3.5</v>
      </c>
      <c r="H52">
        <f t="shared" si="1"/>
        <v>1.8708286933869707</v>
      </c>
      <c r="L52" t="str">
        <f t="shared" si="2"/>
        <v>Kni</v>
      </c>
      <c r="M52" t="str">
        <f t="shared" si="3"/>
        <v>et</v>
      </c>
      <c r="N52">
        <f t="shared" si="4"/>
        <v>18</v>
      </c>
    </row>
    <row r="53" spans="1:14" x14ac:dyDescent="0.25">
      <c r="A53" t="s">
        <v>14</v>
      </c>
      <c r="B53" t="s">
        <v>15</v>
      </c>
      <c r="C53" t="s">
        <v>29</v>
      </c>
      <c r="D53">
        <v>10.95</v>
      </c>
      <c r="E53">
        <v>9.5797065039453404</v>
      </c>
      <c r="F53" t="s">
        <v>17</v>
      </c>
      <c r="G53">
        <f t="shared" si="0"/>
        <v>11</v>
      </c>
      <c r="H53">
        <f t="shared" si="1"/>
        <v>3.3166247903553998</v>
      </c>
      <c r="L53" t="str">
        <f t="shared" si="2"/>
        <v>Kni</v>
      </c>
      <c r="M53" t="str">
        <f t="shared" si="3"/>
        <v>et</v>
      </c>
      <c r="N53">
        <f t="shared" si="4"/>
        <v>18</v>
      </c>
    </row>
    <row r="54" spans="1:14" x14ac:dyDescent="0.25">
      <c r="A54" t="s">
        <v>14</v>
      </c>
      <c r="B54" t="s">
        <v>15</v>
      </c>
      <c r="C54" t="s">
        <v>29</v>
      </c>
      <c r="D54">
        <v>18.190000000000001</v>
      </c>
      <c r="E54">
        <v>15.7668946248663</v>
      </c>
      <c r="F54" t="s">
        <v>17</v>
      </c>
      <c r="G54">
        <f t="shared" si="0"/>
        <v>18.2</v>
      </c>
      <c r="H54">
        <f t="shared" si="1"/>
        <v>4.2661458015403086</v>
      </c>
      <c r="L54" t="str">
        <f t="shared" si="2"/>
        <v>Kni</v>
      </c>
      <c r="M54" t="str">
        <f t="shared" si="3"/>
        <v>et</v>
      </c>
      <c r="N54">
        <f t="shared" si="4"/>
        <v>18</v>
      </c>
    </row>
    <row r="55" spans="1:14" x14ac:dyDescent="0.25">
      <c r="A55" t="s">
        <v>14</v>
      </c>
      <c r="B55" t="s">
        <v>15</v>
      </c>
      <c r="C55" t="s">
        <v>30</v>
      </c>
      <c r="D55">
        <v>8.49</v>
      </c>
      <c r="E55">
        <v>7.3758341357616999</v>
      </c>
      <c r="F55" t="s">
        <v>17</v>
      </c>
      <c r="G55">
        <f t="shared" si="0"/>
        <v>8.5</v>
      </c>
      <c r="H55">
        <f t="shared" si="1"/>
        <v>2.9154759474226504</v>
      </c>
      <c r="L55" t="str">
        <f t="shared" si="2"/>
        <v>Mod</v>
      </c>
      <c r="M55" t="str">
        <f t="shared" si="3"/>
        <v>ng</v>
      </c>
      <c r="N55">
        <f t="shared" si="4"/>
        <v>22</v>
      </c>
    </row>
    <row r="56" spans="1:14" x14ac:dyDescent="0.25">
      <c r="A56" t="s">
        <v>14</v>
      </c>
      <c r="B56" t="s">
        <v>15</v>
      </c>
      <c r="C56" t="s">
        <v>30</v>
      </c>
      <c r="D56">
        <v>6.48</v>
      </c>
      <c r="E56">
        <v>5.9570998111269704</v>
      </c>
      <c r="F56" t="s">
        <v>17</v>
      </c>
      <c r="G56">
        <f t="shared" si="0"/>
        <v>6.5</v>
      </c>
      <c r="H56">
        <f t="shared" si="1"/>
        <v>2.5495097567963922</v>
      </c>
      <c r="L56" t="str">
        <f t="shared" si="2"/>
        <v>Mod</v>
      </c>
      <c r="M56" t="str">
        <f t="shared" si="3"/>
        <v>ng</v>
      </c>
      <c r="N56">
        <f t="shared" si="4"/>
        <v>22</v>
      </c>
    </row>
    <row r="57" spans="1:14" x14ac:dyDescent="0.25">
      <c r="A57" t="s">
        <v>14</v>
      </c>
      <c r="B57" t="s">
        <v>15</v>
      </c>
      <c r="C57" t="s">
        <v>30</v>
      </c>
      <c r="D57">
        <v>14.99</v>
      </c>
      <c r="E57">
        <v>13.4495988012957</v>
      </c>
      <c r="F57" t="s">
        <v>17</v>
      </c>
      <c r="G57">
        <f t="shared" si="0"/>
        <v>15</v>
      </c>
      <c r="H57">
        <f t="shared" si="1"/>
        <v>3.872983346207417</v>
      </c>
      <c r="L57" t="str">
        <f t="shared" si="2"/>
        <v>Mod</v>
      </c>
      <c r="M57" t="str">
        <f t="shared" si="3"/>
        <v>ng</v>
      </c>
      <c r="N57">
        <f t="shared" si="4"/>
        <v>22</v>
      </c>
    </row>
    <row r="58" spans="1:14" x14ac:dyDescent="0.25">
      <c r="A58" t="s">
        <v>14</v>
      </c>
      <c r="B58" t="s">
        <v>15</v>
      </c>
      <c r="C58" t="s">
        <v>30</v>
      </c>
      <c r="D58">
        <v>14.99</v>
      </c>
      <c r="E58">
        <v>12.8112309766155</v>
      </c>
      <c r="F58" t="s">
        <v>17</v>
      </c>
      <c r="G58">
        <f t="shared" si="0"/>
        <v>15</v>
      </c>
      <c r="H58">
        <f t="shared" si="1"/>
        <v>3.872983346207417</v>
      </c>
      <c r="L58" t="str">
        <f t="shared" si="2"/>
        <v>Mod</v>
      </c>
      <c r="M58" t="str">
        <f t="shared" si="3"/>
        <v>ng</v>
      </c>
      <c r="N58">
        <f t="shared" si="4"/>
        <v>22</v>
      </c>
    </row>
    <row r="59" spans="1:14" x14ac:dyDescent="0.25">
      <c r="A59" t="s">
        <v>14</v>
      </c>
      <c r="B59" t="s">
        <v>15</v>
      </c>
      <c r="C59" t="s">
        <v>30</v>
      </c>
      <c r="D59">
        <v>26.53</v>
      </c>
      <c r="E59">
        <v>24.612792521861898</v>
      </c>
      <c r="F59" t="s">
        <v>17</v>
      </c>
      <c r="G59">
        <f t="shared" si="0"/>
        <v>26.5</v>
      </c>
      <c r="H59">
        <f t="shared" si="1"/>
        <v>5.1478150704935004</v>
      </c>
      <c r="L59" t="str">
        <f t="shared" si="2"/>
        <v>Mod</v>
      </c>
      <c r="M59" t="str">
        <f t="shared" si="3"/>
        <v>ng</v>
      </c>
      <c r="N59">
        <f t="shared" si="4"/>
        <v>22</v>
      </c>
    </row>
    <row r="60" spans="1:14" x14ac:dyDescent="0.25">
      <c r="A60" t="s">
        <v>22</v>
      </c>
      <c r="B60" t="s">
        <v>15</v>
      </c>
      <c r="C60" t="s">
        <v>30</v>
      </c>
      <c r="D60">
        <v>9.33</v>
      </c>
      <c r="E60">
        <v>8.5510213278879892</v>
      </c>
      <c r="F60" t="s">
        <v>17</v>
      </c>
      <c r="G60">
        <f t="shared" si="0"/>
        <v>9.3000000000000007</v>
      </c>
      <c r="H60">
        <f t="shared" si="1"/>
        <v>3.0495901363953815</v>
      </c>
      <c r="L60" t="str">
        <f t="shared" si="2"/>
        <v>Mod</v>
      </c>
      <c r="M60" t="str">
        <f t="shared" si="3"/>
        <v>ng</v>
      </c>
      <c r="N60">
        <f t="shared" si="4"/>
        <v>22</v>
      </c>
    </row>
    <row r="61" spans="1:14" x14ac:dyDescent="0.25">
      <c r="A61" t="s">
        <v>22</v>
      </c>
      <c r="B61" t="s">
        <v>15</v>
      </c>
      <c r="C61" t="s">
        <v>30</v>
      </c>
      <c r="D61">
        <v>31.44</v>
      </c>
      <c r="E61">
        <v>27.684006296655099</v>
      </c>
      <c r="F61" t="s">
        <v>17</v>
      </c>
      <c r="G61">
        <f t="shared" si="0"/>
        <v>31.4</v>
      </c>
      <c r="H61">
        <f t="shared" si="1"/>
        <v>5.6035702904487596</v>
      </c>
      <c r="L61" t="str">
        <f t="shared" si="2"/>
        <v>Mod</v>
      </c>
      <c r="M61" t="str">
        <f t="shared" si="3"/>
        <v>ng</v>
      </c>
      <c r="N61">
        <f t="shared" si="4"/>
        <v>22</v>
      </c>
    </row>
    <row r="62" spans="1:14" x14ac:dyDescent="0.25">
      <c r="A62" t="s">
        <v>14</v>
      </c>
      <c r="B62" t="s">
        <v>15</v>
      </c>
      <c r="C62" t="s">
        <v>30</v>
      </c>
      <c r="D62">
        <v>17.489999999999998</v>
      </c>
      <c r="E62">
        <v>16.004497976138602</v>
      </c>
      <c r="F62" t="s">
        <v>21</v>
      </c>
      <c r="G62">
        <f t="shared" si="0"/>
        <v>17.5</v>
      </c>
      <c r="H62">
        <f t="shared" si="1"/>
        <v>4.1833001326703778</v>
      </c>
      <c r="L62" t="str">
        <f t="shared" si="2"/>
        <v>Mod</v>
      </c>
      <c r="M62" t="str">
        <f t="shared" si="3"/>
        <v>ng</v>
      </c>
      <c r="N62">
        <f t="shared" si="4"/>
        <v>22</v>
      </c>
    </row>
    <row r="63" spans="1:14" x14ac:dyDescent="0.25">
      <c r="A63" t="s">
        <v>22</v>
      </c>
      <c r="B63" t="s">
        <v>15</v>
      </c>
      <c r="C63" t="s">
        <v>30</v>
      </c>
      <c r="D63">
        <v>5.34</v>
      </c>
      <c r="E63">
        <v>4.8346433026163602</v>
      </c>
      <c r="F63" t="s">
        <v>17</v>
      </c>
      <c r="G63">
        <f t="shared" si="0"/>
        <v>5.3</v>
      </c>
      <c r="H63">
        <f t="shared" si="1"/>
        <v>2.3021728866442674</v>
      </c>
      <c r="L63" t="str">
        <f t="shared" si="2"/>
        <v>Mod</v>
      </c>
      <c r="M63" t="str">
        <f t="shared" si="3"/>
        <v>ng</v>
      </c>
      <c r="N63">
        <f t="shared" si="4"/>
        <v>22</v>
      </c>
    </row>
    <row r="64" spans="1:14" x14ac:dyDescent="0.25">
      <c r="A64" t="s">
        <v>24</v>
      </c>
      <c r="B64" t="s">
        <v>15</v>
      </c>
      <c r="C64" t="s">
        <v>30</v>
      </c>
      <c r="D64">
        <v>8.99</v>
      </c>
      <c r="E64">
        <v>7.8161929667095897</v>
      </c>
      <c r="F64" t="s">
        <v>21</v>
      </c>
      <c r="G64">
        <f t="shared" si="0"/>
        <v>9</v>
      </c>
      <c r="H64">
        <f t="shared" si="1"/>
        <v>3</v>
      </c>
      <c r="L64" t="str">
        <f t="shared" si="2"/>
        <v>Mod</v>
      </c>
      <c r="M64" t="str">
        <f t="shared" si="3"/>
        <v>ng</v>
      </c>
      <c r="N64">
        <f t="shared" si="4"/>
        <v>22</v>
      </c>
    </row>
    <row r="65" spans="1:14" x14ac:dyDescent="0.25">
      <c r="A65" t="s">
        <v>14</v>
      </c>
      <c r="B65" t="s">
        <v>15</v>
      </c>
      <c r="C65" t="s">
        <v>30</v>
      </c>
      <c r="D65">
        <v>10.97</v>
      </c>
      <c r="E65">
        <v>9.3536822401862398</v>
      </c>
      <c r="F65" t="s">
        <v>21</v>
      </c>
      <c r="G65">
        <f t="shared" si="0"/>
        <v>11</v>
      </c>
      <c r="H65">
        <f t="shared" si="1"/>
        <v>3.3166247903553998</v>
      </c>
      <c r="L65" t="str">
        <f t="shared" si="2"/>
        <v>Mod</v>
      </c>
      <c r="M65" t="str">
        <f t="shared" si="3"/>
        <v>ng</v>
      </c>
      <c r="N65">
        <f t="shared" si="4"/>
        <v>22</v>
      </c>
    </row>
    <row r="66" spans="1:14" x14ac:dyDescent="0.25">
      <c r="A66" t="s">
        <v>22</v>
      </c>
      <c r="B66" t="s">
        <v>15</v>
      </c>
      <c r="C66" t="s">
        <v>30</v>
      </c>
      <c r="D66">
        <v>13.97</v>
      </c>
      <c r="E66">
        <v>12.448370592924499</v>
      </c>
      <c r="F66" t="s">
        <v>21</v>
      </c>
      <c r="G66">
        <f t="shared" si="0"/>
        <v>14</v>
      </c>
      <c r="H66">
        <f t="shared" si="1"/>
        <v>3.7416573867739413</v>
      </c>
      <c r="L66" t="str">
        <f t="shared" si="2"/>
        <v>Mod</v>
      </c>
      <c r="M66" t="str">
        <f t="shared" si="3"/>
        <v>ng</v>
      </c>
      <c r="N66">
        <f t="shared" si="4"/>
        <v>22</v>
      </c>
    </row>
    <row r="67" spans="1:14" x14ac:dyDescent="0.25">
      <c r="A67" t="s">
        <v>22</v>
      </c>
      <c r="B67" t="s">
        <v>15</v>
      </c>
      <c r="C67" t="s">
        <v>30</v>
      </c>
      <c r="D67">
        <v>23.95</v>
      </c>
      <c r="E67">
        <v>21.236290490530699</v>
      </c>
      <c r="F67" t="s">
        <v>17</v>
      </c>
      <c r="G67">
        <f t="shared" ref="G67:G130" si="5">ROUND(D67,1)</f>
        <v>24</v>
      </c>
      <c r="H67">
        <f t="shared" ref="H67:H130" si="6">SQRT(G67)</f>
        <v>4.8989794855663558</v>
      </c>
      <c r="L67" t="str">
        <f t="shared" ref="L67:L130" si="7">LEFT(C67,3)</f>
        <v>Mod</v>
      </c>
      <c r="M67" t="str">
        <f t="shared" ref="M67:M130" si="8">RIGHT(C67,2)</f>
        <v>ng</v>
      </c>
      <c r="N67">
        <f t="shared" ref="N67:N130" si="9">LEN(C67)</f>
        <v>22</v>
      </c>
    </row>
    <row r="68" spans="1:14" x14ac:dyDescent="0.25">
      <c r="A68" t="s">
        <v>24</v>
      </c>
      <c r="B68" t="s">
        <v>15</v>
      </c>
      <c r="C68" t="s">
        <v>30</v>
      </c>
      <c r="D68">
        <v>29.97</v>
      </c>
      <c r="E68">
        <v>25.621792134623899</v>
      </c>
      <c r="F68" t="s">
        <v>17</v>
      </c>
      <c r="G68">
        <f t="shared" si="5"/>
        <v>30</v>
      </c>
      <c r="H68">
        <f t="shared" si="6"/>
        <v>5.4772255750516612</v>
      </c>
      <c r="L68" t="str">
        <f t="shared" si="7"/>
        <v>Mod</v>
      </c>
      <c r="M68" t="str">
        <f t="shared" si="8"/>
        <v>ng</v>
      </c>
      <c r="N68">
        <f t="shared" si="9"/>
        <v>22</v>
      </c>
    </row>
    <row r="69" spans="1:14" x14ac:dyDescent="0.25">
      <c r="A69" t="s">
        <v>14</v>
      </c>
      <c r="B69" t="s">
        <v>15</v>
      </c>
      <c r="C69" t="s">
        <v>30</v>
      </c>
      <c r="D69">
        <v>11.99</v>
      </c>
      <c r="E69">
        <v>11.156765608360701</v>
      </c>
      <c r="F69" t="s">
        <v>21</v>
      </c>
      <c r="G69">
        <f t="shared" si="5"/>
        <v>12</v>
      </c>
      <c r="H69">
        <f t="shared" si="6"/>
        <v>3.4641016151377544</v>
      </c>
      <c r="L69" t="str">
        <f t="shared" si="7"/>
        <v>Mod</v>
      </c>
      <c r="M69" t="str">
        <f t="shared" si="8"/>
        <v>ng</v>
      </c>
      <c r="N69">
        <f t="shared" si="9"/>
        <v>22</v>
      </c>
    </row>
    <row r="70" spans="1:14" x14ac:dyDescent="0.25">
      <c r="A70" t="s">
        <v>22</v>
      </c>
      <c r="B70" t="s">
        <v>15</v>
      </c>
      <c r="C70" t="s">
        <v>31</v>
      </c>
      <c r="D70">
        <v>6.99</v>
      </c>
      <c r="E70">
        <v>5.9671312146671101</v>
      </c>
      <c r="F70" t="s">
        <v>17</v>
      </c>
      <c r="G70">
        <f t="shared" si="5"/>
        <v>7</v>
      </c>
      <c r="H70">
        <f t="shared" si="6"/>
        <v>2.6457513110645907</v>
      </c>
      <c r="L70" t="str">
        <f t="shared" si="7"/>
        <v>Nee</v>
      </c>
      <c r="M70" t="str">
        <f t="shared" si="8"/>
        <v>rk</v>
      </c>
      <c r="N70">
        <f t="shared" si="9"/>
        <v>10</v>
      </c>
    </row>
    <row r="71" spans="1:14" x14ac:dyDescent="0.25">
      <c r="A71" t="s">
        <v>23</v>
      </c>
      <c r="B71" t="s">
        <v>15</v>
      </c>
      <c r="C71" t="s">
        <v>31</v>
      </c>
      <c r="D71">
        <v>2.27</v>
      </c>
      <c r="E71">
        <v>1.94373210820485</v>
      </c>
      <c r="F71" t="s">
        <v>21</v>
      </c>
      <c r="G71">
        <f t="shared" si="5"/>
        <v>2.2999999999999998</v>
      </c>
      <c r="H71">
        <f t="shared" si="6"/>
        <v>1.51657508881031</v>
      </c>
      <c r="L71" t="str">
        <f t="shared" si="7"/>
        <v>Nee</v>
      </c>
      <c r="M71" t="str">
        <f t="shared" si="8"/>
        <v>rk</v>
      </c>
      <c r="N71">
        <f t="shared" si="9"/>
        <v>10</v>
      </c>
    </row>
    <row r="72" spans="1:14" x14ac:dyDescent="0.25">
      <c r="A72" t="s">
        <v>14</v>
      </c>
      <c r="B72" t="s">
        <v>15</v>
      </c>
      <c r="C72" t="s">
        <v>31</v>
      </c>
      <c r="D72">
        <v>9.99</v>
      </c>
      <c r="E72">
        <v>9.2265521228291991</v>
      </c>
      <c r="F72" t="s">
        <v>25</v>
      </c>
      <c r="G72">
        <f t="shared" si="5"/>
        <v>10</v>
      </c>
      <c r="H72">
        <f t="shared" si="6"/>
        <v>3.1622776601683795</v>
      </c>
      <c r="L72" t="str">
        <f t="shared" si="7"/>
        <v>Nee</v>
      </c>
      <c r="M72" t="str">
        <f t="shared" si="8"/>
        <v>rk</v>
      </c>
      <c r="N72">
        <f t="shared" si="9"/>
        <v>10</v>
      </c>
    </row>
    <row r="73" spans="1:14" x14ac:dyDescent="0.25">
      <c r="A73" t="s">
        <v>24</v>
      </c>
      <c r="B73" t="s">
        <v>15</v>
      </c>
      <c r="C73" t="s">
        <v>31</v>
      </c>
      <c r="D73">
        <v>5.99</v>
      </c>
      <c r="E73">
        <v>5.5407573477227103</v>
      </c>
      <c r="F73" t="s">
        <v>17</v>
      </c>
      <c r="G73">
        <f t="shared" si="5"/>
        <v>6</v>
      </c>
      <c r="H73">
        <f t="shared" si="6"/>
        <v>2.4494897427831779</v>
      </c>
      <c r="L73" t="str">
        <f t="shared" si="7"/>
        <v>Nee</v>
      </c>
      <c r="M73" t="str">
        <f t="shared" si="8"/>
        <v>rk</v>
      </c>
      <c r="N73">
        <f t="shared" si="9"/>
        <v>10</v>
      </c>
    </row>
    <row r="74" spans="1:14" x14ac:dyDescent="0.25">
      <c r="A74" t="s">
        <v>14</v>
      </c>
      <c r="B74" t="s">
        <v>15</v>
      </c>
      <c r="C74" t="s">
        <v>31</v>
      </c>
      <c r="D74">
        <v>29.96</v>
      </c>
      <c r="E74">
        <v>26.284767374163199</v>
      </c>
      <c r="F74" t="s">
        <v>21</v>
      </c>
      <c r="G74">
        <f t="shared" si="5"/>
        <v>30</v>
      </c>
      <c r="H74">
        <f t="shared" si="6"/>
        <v>5.4772255750516612</v>
      </c>
      <c r="L74" t="str">
        <f t="shared" si="7"/>
        <v>Nee</v>
      </c>
      <c r="M74" t="str">
        <f t="shared" si="8"/>
        <v>rk</v>
      </c>
      <c r="N74">
        <f t="shared" si="9"/>
        <v>10</v>
      </c>
    </row>
    <row r="75" spans="1:14" x14ac:dyDescent="0.25">
      <c r="A75" t="s">
        <v>14</v>
      </c>
      <c r="B75" t="s">
        <v>15</v>
      </c>
      <c r="C75" t="s">
        <v>31</v>
      </c>
      <c r="D75">
        <v>12.99</v>
      </c>
      <c r="E75">
        <v>11.6175161722529</v>
      </c>
      <c r="F75" t="s">
        <v>17</v>
      </c>
      <c r="G75">
        <f t="shared" si="5"/>
        <v>13</v>
      </c>
      <c r="H75">
        <f t="shared" si="6"/>
        <v>3.6055512754639891</v>
      </c>
      <c r="L75" t="str">
        <f t="shared" si="7"/>
        <v>Nee</v>
      </c>
      <c r="M75" t="str">
        <f t="shared" si="8"/>
        <v>rk</v>
      </c>
      <c r="N75">
        <f t="shared" si="9"/>
        <v>10</v>
      </c>
    </row>
    <row r="76" spans="1:14" x14ac:dyDescent="0.25">
      <c r="A76" t="s">
        <v>22</v>
      </c>
      <c r="B76" t="s">
        <v>15</v>
      </c>
      <c r="C76" t="s">
        <v>31</v>
      </c>
      <c r="D76">
        <v>11.99</v>
      </c>
      <c r="E76">
        <v>11.340149425685601</v>
      </c>
      <c r="F76" t="s">
        <v>17</v>
      </c>
      <c r="G76">
        <f t="shared" si="5"/>
        <v>12</v>
      </c>
      <c r="H76">
        <f t="shared" si="6"/>
        <v>3.4641016151377544</v>
      </c>
      <c r="L76" t="str">
        <f t="shared" si="7"/>
        <v>Nee</v>
      </c>
      <c r="M76" t="str">
        <f t="shared" si="8"/>
        <v>rk</v>
      </c>
      <c r="N76">
        <f t="shared" si="9"/>
        <v>10</v>
      </c>
    </row>
    <row r="77" spans="1:14" x14ac:dyDescent="0.25">
      <c r="A77" t="s">
        <v>22</v>
      </c>
      <c r="B77" t="s">
        <v>15</v>
      </c>
      <c r="C77" t="s">
        <v>31</v>
      </c>
      <c r="D77">
        <v>10.59</v>
      </c>
      <c r="E77">
        <v>10.0360104517127</v>
      </c>
      <c r="F77" t="s">
        <v>21</v>
      </c>
      <c r="G77">
        <f t="shared" si="5"/>
        <v>10.6</v>
      </c>
      <c r="H77">
        <f t="shared" si="6"/>
        <v>3.2557641192199411</v>
      </c>
      <c r="L77" t="str">
        <f t="shared" si="7"/>
        <v>Nee</v>
      </c>
      <c r="M77" t="str">
        <f t="shared" si="8"/>
        <v>rk</v>
      </c>
      <c r="N77">
        <f t="shared" si="9"/>
        <v>10</v>
      </c>
    </row>
    <row r="78" spans="1:14" x14ac:dyDescent="0.25">
      <c r="A78" t="s">
        <v>22</v>
      </c>
      <c r="B78" t="s">
        <v>15</v>
      </c>
      <c r="C78" t="s">
        <v>31</v>
      </c>
      <c r="D78">
        <v>12.99</v>
      </c>
      <c r="E78">
        <v>11.7083655907702</v>
      </c>
      <c r="F78" t="s">
        <v>17</v>
      </c>
      <c r="G78">
        <f t="shared" si="5"/>
        <v>13</v>
      </c>
      <c r="H78">
        <f t="shared" si="6"/>
        <v>3.6055512754639891</v>
      </c>
      <c r="L78" t="str">
        <f t="shared" si="7"/>
        <v>Nee</v>
      </c>
      <c r="M78" t="str">
        <f t="shared" si="8"/>
        <v>rk</v>
      </c>
      <c r="N78">
        <f t="shared" si="9"/>
        <v>10</v>
      </c>
    </row>
    <row r="79" spans="1:14" x14ac:dyDescent="0.25">
      <c r="A79" t="s">
        <v>24</v>
      </c>
      <c r="B79" t="s">
        <v>15</v>
      </c>
      <c r="C79" t="s">
        <v>31</v>
      </c>
      <c r="D79">
        <v>12.19</v>
      </c>
      <c r="E79">
        <v>11.117200408954901</v>
      </c>
      <c r="F79" t="s">
        <v>21</v>
      </c>
      <c r="G79">
        <f t="shared" si="5"/>
        <v>12.2</v>
      </c>
      <c r="H79">
        <f t="shared" si="6"/>
        <v>3.4928498393145961</v>
      </c>
      <c r="L79" t="str">
        <f t="shared" si="7"/>
        <v>Nee</v>
      </c>
      <c r="M79" t="str">
        <f t="shared" si="8"/>
        <v>rk</v>
      </c>
      <c r="N79">
        <f t="shared" si="9"/>
        <v>10</v>
      </c>
    </row>
    <row r="80" spans="1:14" x14ac:dyDescent="0.25">
      <c r="A80" t="s">
        <v>14</v>
      </c>
      <c r="B80" t="s">
        <v>15</v>
      </c>
      <c r="C80" t="s">
        <v>32</v>
      </c>
      <c r="D80">
        <v>14.99</v>
      </c>
      <c r="E80">
        <v>12.749134108598399</v>
      </c>
      <c r="F80" t="s">
        <v>21</v>
      </c>
      <c r="G80">
        <f t="shared" si="5"/>
        <v>15</v>
      </c>
      <c r="H80">
        <f t="shared" si="6"/>
        <v>3.872983346207417</v>
      </c>
      <c r="L80" t="str">
        <f t="shared" si="7"/>
        <v>Org</v>
      </c>
      <c r="M80" t="str">
        <f t="shared" si="8"/>
        <v>rt</v>
      </c>
      <c r="N80">
        <f t="shared" si="9"/>
        <v>33</v>
      </c>
    </row>
    <row r="81" spans="1:14" x14ac:dyDescent="0.25">
      <c r="A81" t="s">
        <v>14</v>
      </c>
      <c r="B81" t="s">
        <v>15</v>
      </c>
      <c r="C81" t="s">
        <v>32</v>
      </c>
      <c r="D81">
        <v>19.989999999999998</v>
      </c>
      <c r="E81">
        <v>18.656756661745199</v>
      </c>
      <c r="F81" t="s">
        <v>17</v>
      </c>
      <c r="G81">
        <f t="shared" si="5"/>
        <v>20</v>
      </c>
      <c r="H81">
        <f t="shared" si="6"/>
        <v>4.4721359549995796</v>
      </c>
      <c r="L81" t="str">
        <f t="shared" si="7"/>
        <v>Org</v>
      </c>
      <c r="M81" t="str">
        <f t="shared" si="8"/>
        <v>rt</v>
      </c>
      <c r="N81">
        <f t="shared" si="9"/>
        <v>33</v>
      </c>
    </row>
    <row r="82" spans="1:14" x14ac:dyDescent="0.25">
      <c r="A82" t="s">
        <v>33</v>
      </c>
      <c r="B82" t="s">
        <v>15</v>
      </c>
      <c r="C82" t="s">
        <v>32</v>
      </c>
      <c r="D82">
        <v>54.8</v>
      </c>
      <c r="E82">
        <v>48.8683894913027</v>
      </c>
      <c r="F82" t="s">
        <v>17</v>
      </c>
      <c r="G82">
        <f t="shared" si="5"/>
        <v>54.8</v>
      </c>
      <c r="H82">
        <f t="shared" si="6"/>
        <v>7.4027022093286989</v>
      </c>
      <c r="L82" t="str">
        <f t="shared" si="7"/>
        <v>Org</v>
      </c>
      <c r="M82" t="str">
        <f t="shared" si="8"/>
        <v>rt</v>
      </c>
      <c r="N82">
        <f t="shared" si="9"/>
        <v>33</v>
      </c>
    </row>
    <row r="83" spans="1:14" x14ac:dyDescent="0.25">
      <c r="A83" t="s">
        <v>24</v>
      </c>
      <c r="B83" t="s">
        <v>15</v>
      </c>
      <c r="C83" t="s">
        <v>32</v>
      </c>
      <c r="D83">
        <v>30.99</v>
      </c>
      <c r="E83">
        <v>26.849932533900301</v>
      </c>
      <c r="F83" t="s">
        <v>17</v>
      </c>
      <c r="G83">
        <f t="shared" si="5"/>
        <v>31</v>
      </c>
      <c r="H83">
        <f t="shared" si="6"/>
        <v>5.5677643628300215</v>
      </c>
      <c r="L83" t="str">
        <f t="shared" si="7"/>
        <v>Org</v>
      </c>
      <c r="M83" t="str">
        <f t="shared" si="8"/>
        <v>rt</v>
      </c>
      <c r="N83">
        <f t="shared" si="9"/>
        <v>33</v>
      </c>
    </row>
    <row r="84" spans="1:14" x14ac:dyDescent="0.25">
      <c r="A84" t="s">
        <v>24</v>
      </c>
      <c r="B84" t="s">
        <v>15</v>
      </c>
      <c r="C84" t="s">
        <v>32</v>
      </c>
      <c r="D84">
        <v>12.99</v>
      </c>
      <c r="E84">
        <v>12.207316101282</v>
      </c>
      <c r="F84" t="s">
        <v>17</v>
      </c>
      <c r="G84">
        <f t="shared" si="5"/>
        <v>13</v>
      </c>
      <c r="H84">
        <f t="shared" si="6"/>
        <v>3.6055512754639891</v>
      </c>
      <c r="L84" t="str">
        <f t="shared" si="7"/>
        <v>Org</v>
      </c>
      <c r="M84" t="str">
        <f t="shared" si="8"/>
        <v>rt</v>
      </c>
      <c r="N84">
        <f t="shared" si="9"/>
        <v>33</v>
      </c>
    </row>
    <row r="85" spans="1:14" x14ac:dyDescent="0.25">
      <c r="A85" t="s">
        <v>22</v>
      </c>
      <c r="B85" t="s">
        <v>15</v>
      </c>
      <c r="C85" t="s">
        <v>32</v>
      </c>
      <c r="D85">
        <v>9.99</v>
      </c>
      <c r="E85">
        <v>9.2899376109453708</v>
      </c>
      <c r="F85" t="s">
        <v>17</v>
      </c>
      <c r="G85">
        <f t="shared" si="5"/>
        <v>10</v>
      </c>
      <c r="H85">
        <f t="shared" si="6"/>
        <v>3.1622776601683795</v>
      </c>
      <c r="L85" t="str">
        <f t="shared" si="7"/>
        <v>Org</v>
      </c>
      <c r="M85" t="str">
        <f t="shared" si="8"/>
        <v>rt</v>
      </c>
      <c r="N85">
        <f t="shared" si="9"/>
        <v>33</v>
      </c>
    </row>
    <row r="86" spans="1:14" x14ac:dyDescent="0.25">
      <c r="A86" t="s">
        <v>14</v>
      </c>
      <c r="B86" t="s">
        <v>15</v>
      </c>
      <c r="C86" t="s">
        <v>32</v>
      </c>
      <c r="D86">
        <v>17.899999999999999</v>
      </c>
      <c r="E86">
        <v>15.7429567268012</v>
      </c>
      <c r="F86" t="s">
        <v>17</v>
      </c>
      <c r="G86">
        <f t="shared" si="5"/>
        <v>17.899999999999999</v>
      </c>
      <c r="H86">
        <f t="shared" si="6"/>
        <v>4.2308391602612359</v>
      </c>
      <c r="L86" t="str">
        <f t="shared" si="7"/>
        <v>Org</v>
      </c>
      <c r="M86" t="str">
        <f t="shared" si="8"/>
        <v>rt</v>
      </c>
      <c r="N86">
        <f t="shared" si="9"/>
        <v>33</v>
      </c>
    </row>
    <row r="87" spans="1:14" x14ac:dyDescent="0.25">
      <c r="A87" t="s">
        <v>24</v>
      </c>
      <c r="B87" t="s">
        <v>15</v>
      </c>
      <c r="C87" t="s">
        <v>32</v>
      </c>
      <c r="D87">
        <v>22.49</v>
      </c>
      <c r="E87">
        <v>19.532816757657798</v>
      </c>
      <c r="F87" t="s">
        <v>21</v>
      </c>
      <c r="G87">
        <f t="shared" si="5"/>
        <v>22.5</v>
      </c>
      <c r="H87">
        <f t="shared" si="6"/>
        <v>4.7434164902525691</v>
      </c>
      <c r="L87" t="str">
        <f t="shared" si="7"/>
        <v>Org</v>
      </c>
      <c r="M87" t="str">
        <f t="shared" si="8"/>
        <v>rt</v>
      </c>
      <c r="N87">
        <f t="shared" si="9"/>
        <v>33</v>
      </c>
    </row>
    <row r="88" spans="1:14" x14ac:dyDescent="0.25">
      <c r="A88" t="s">
        <v>14</v>
      </c>
      <c r="B88" t="s">
        <v>15</v>
      </c>
      <c r="C88" t="s">
        <v>32</v>
      </c>
      <c r="D88">
        <v>32.99</v>
      </c>
      <c r="E88">
        <v>29.220998766881198</v>
      </c>
      <c r="F88" t="s">
        <v>17</v>
      </c>
      <c r="G88">
        <f t="shared" si="5"/>
        <v>33</v>
      </c>
      <c r="H88">
        <f t="shared" si="6"/>
        <v>5.7445626465380286</v>
      </c>
      <c r="L88" t="str">
        <f t="shared" si="7"/>
        <v>Org</v>
      </c>
      <c r="M88" t="str">
        <f t="shared" si="8"/>
        <v>rt</v>
      </c>
      <c r="N88">
        <f t="shared" si="9"/>
        <v>33</v>
      </c>
    </row>
    <row r="89" spans="1:14" x14ac:dyDescent="0.25">
      <c r="A89" t="s">
        <v>24</v>
      </c>
      <c r="B89" t="s">
        <v>15</v>
      </c>
      <c r="C89" t="s">
        <v>34</v>
      </c>
      <c r="D89">
        <v>11.94</v>
      </c>
      <c r="E89">
        <v>11.1354223634885</v>
      </c>
      <c r="F89" t="s">
        <v>17</v>
      </c>
      <c r="G89">
        <f t="shared" si="5"/>
        <v>11.9</v>
      </c>
      <c r="H89">
        <f t="shared" si="6"/>
        <v>3.4496376621320679</v>
      </c>
      <c r="L89" t="str">
        <f t="shared" si="7"/>
        <v>Pai</v>
      </c>
      <c r="M89" t="str">
        <f t="shared" si="8"/>
        <v>es</v>
      </c>
      <c r="N89">
        <f t="shared" si="9"/>
        <v>32</v>
      </c>
    </row>
    <row r="90" spans="1:14" x14ac:dyDescent="0.25">
      <c r="A90" t="s">
        <v>14</v>
      </c>
      <c r="B90" t="s">
        <v>15</v>
      </c>
      <c r="C90" t="s">
        <v>34</v>
      </c>
      <c r="D90">
        <v>7.99</v>
      </c>
      <c r="E90">
        <v>7.2613059056873697</v>
      </c>
      <c r="F90" t="s">
        <v>17</v>
      </c>
      <c r="G90">
        <f t="shared" si="5"/>
        <v>8</v>
      </c>
      <c r="H90">
        <f t="shared" si="6"/>
        <v>2.8284271247461903</v>
      </c>
      <c r="L90" t="str">
        <f t="shared" si="7"/>
        <v>Pai</v>
      </c>
      <c r="M90" t="str">
        <f t="shared" si="8"/>
        <v>es</v>
      </c>
      <c r="N90">
        <f t="shared" si="9"/>
        <v>32</v>
      </c>
    </row>
    <row r="91" spans="1:14" x14ac:dyDescent="0.25">
      <c r="A91" t="s">
        <v>33</v>
      </c>
      <c r="B91" t="s">
        <v>15</v>
      </c>
      <c r="C91" t="s">
        <v>34</v>
      </c>
      <c r="D91">
        <v>3.79</v>
      </c>
      <c r="E91">
        <v>3.4373360695642301</v>
      </c>
      <c r="F91" t="s">
        <v>17</v>
      </c>
      <c r="G91">
        <f t="shared" si="5"/>
        <v>3.8</v>
      </c>
      <c r="H91">
        <f t="shared" si="6"/>
        <v>1.9493588689617927</v>
      </c>
      <c r="L91" t="str">
        <f t="shared" si="7"/>
        <v>Pai</v>
      </c>
      <c r="M91" t="str">
        <f t="shared" si="8"/>
        <v>es</v>
      </c>
      <c r="N91">
        <f t="shared" si="9"/>
        <v>32</v>
      </c>
    </row>
    <row r="92" spans="1:14" x14ac:dyDescent="0.25">
      <c r="A92" t="s">
        <v>23</v>
      </c>
      <c r="B92" t="s">
        <v>15</v>
      </c>
      <c r="C92" t="s">
        <v>34</v>
      </c>
      <c r="D92">
        <v>9.9499999999999993</v>
      </c>
      <c r="E92">
        <v>9.1680276520782709</v>
      </c>
      <c r="F92" t="s">
        <v>17</v>
      </c>
      <c r="G92">
        <f t="shared" si="5"/>
        <v>10</v>
      </c>
      <c r="H92">
        <f t="shared" si="6"/>
        <v>3.1622776601683795</v>
      </c>
      <c r="L92" t="str">
        <f t="shared" si="7"/>
        <v>Pai</v>
      </c>
      <c r="M92" t="str">
        <f t="shared" si="8"/>
        <v>es</v>
      </c>
      <c r="N92">
        <f t="shared" si="9"/>
        <v>32</v>
      </c>
    </row>
    <row r="93" spans="1:14" x14ac:dyDescent="0.25">
      <c r="A93" t="s">
        <v>24</v>
      </c>
      <c r="B93" t="s">
        <v>15</v>
      </c>
      <c r="C93" t="s">
        <v>34</v>
      </c>
      <c r="D93">
        <v>25.99</v>
      </c>
      <c r="E93">
        <v>22.870983052231999</v>
      </c>
      <c r="F93" t="s">
        <v>17</v>
      </c>
      <c r="G93">
        <f t="shared" si="5"/>
        <v>26</v>
      </c>
      <c r="H93">
        <f t="shared" si="6"/>
        <v>5.0990195135927845</v>
      </c>
      <c r="L93" t="str">
        <f t="shared" si="7"/>
        <v>Pai</v>
      </c>
      <c r="M93" t="str">
        <f t="shared" si="8"/>
        <v>es</v>
      </c>
      <c r="N93">
        <f t="shared" si="9"/>
        <v>32</v>
      </c>
    </row>
    <row r="94" spans="1:14" x14ac:dyDescent="0.25">
      <c r="A94" t="s">
        <v>14</v>
      </c>
      <c r="B94" t="s">
        <v>15</v>
      </c>
      <c r="C94" t="s">
        <v>34</v>
      </c>
      <c r="D94">
        <v>14.88</v>
      </c>
      <c r="E94">
        <v>13.618403658923</v>
      </c>
      <c r="F94" t="s">
        <v>17</v>
      </c>
      <c r="G94">
        <f t="shared" si="5"/>
        <v>14.9</v>
      </c>
      <c r="H94">
        <f t="shared" si="6"/>
        <v>3.8600518131237567</v>
      </c>
      <c r="L94" t="str">
        <f t="shared" si="7"/>
        <v>Pai</v>
      </c>
      <c r="M94" t="str">
        <f t="shared" si="8"/>
        <v>es</v>
      </c>
      <c r="N94">
        <f t="shared" si="9"/>
        <v>32</v>
      </c>
    </row>
    <row r="95" spans="1:14" x14ac:dyDescent="0.25">
      <c r="A95" t="s">
        <v>22</v>
      </c>
      <c r="B95" t="s">
        <v>15</v>
      </c>
      <c r="C95" t="s">
        <v>34</v>
      </c>
      <c r="D95">
        <v>14.89</v>
      </c>
      <c r="E95">
        <v>13.6135750607065</v>
      </c>
      <c r="F95" t="s">
        <v>17</v>
      </c>
      <c r="G95">
        <f t="shared" si="5"/>
        <v>14.9</v>
      </c>
      <c r="H95">
        <f t="shared" si="6"/>
        <v>3.8600518131237567</v>
      </c>
      <c r="L95" t="str">
        <f t="shared" si="7"/>
        <v>Pai</v>
      </c>
      <c r="M95" t="str">
        <f t="shared" si="8"/>
        <v>es</v>
      </c>
      <c r="N95">
        <f t="shared" si="9"/>
        <v>32</v>
      </c>
    </row>
    <row r="96" spans="1:14" x14ac:dyDescent="0.25">
      <c r="A96" t="s">
        <v>22</v>
      </c>
      <c r="B96" t="s">
        <v>15</v>
      </c>
      <c r="C96" t="s">
        <v>34</v>
      </c>
      <c r="D96">
        <v>14.94</v>
      </c>
      <c r="E96">
        <v>12.706665816287</v>
      </c>
      <c r="F96" t="s">
        <v>17</v>
      </c>
      <c r="G96">
        <f t="shared" si="5"/>
        <v>14.9</v>
      </c>
      <c r="H96">
        <f t="shared" si="6"/>
        <v>3.8600518131237567</v>
      </c>
      <c r="L96" t="str">
        <f t="shared" si="7"/>
        <v>Pai</v>
      </c>
      <c r="M96" t="str">
        <f t="shared" si="8"/>
        <v>es</v>
      </c>
      <c r="N96">
        <f t="shared" si="9"/>
        <v>32</v>
      </c>
    </row>
    <row r="97" spans="1:14" x14ac:dyDescent="0.25">
      <c r="A97" t="s">
        <v>14</v>
      </c>
      <c r="B97" t="s">
        <v>15</v>
      </c>
      <c r="C97" t="s">
        <v>34</v>
      </c>
      <c r="D97">
        <v>7.27</v>
      </c>
      <c r="E97">
        <v>6.37951708570567</v>
      </c>
      <c r="F97" t="s">
        <v>17</v>
      </c>
      <c r="G97">
        <f t="shared" si="5"/>
        <v>7.3</v>
      </c>
      <c r="H97">
        <f t="shared" si="6"/>
        <v>2.7018512172212592</v>
      </c>
      <c r="L97" t="str">
        <f t="shared" si="7"/>
        <v>Pai</v>
      </c>
      <c r="M97" t="str">
        <f t="shared" si="8"/>
        <v>es</v>
      </c>
      <c r="N97">
        <f t="shared" si="9"/>
        <v>32</v>
      </c>
    </row>
    <row r="98" spans="1:14" x14ac:dyDescent="0.25">
      <c r="A98" t="s">
        <v>23</v>
      </c>
      <c r="B98" t="s">
        <v>15</v>
      </c>
      <c r="C98" t="s">
        <v>34</v>
      </c>
      <c r="D98">
        <v>2.5</v>
      </c>
      <c r="E98">
        <v>2.16431173229924</v>
      </c>
      <c r="F98" t="s">
        <v>21</v>
      </c>
      <c r="G98">
        <f t="shared" si="5"/>
        <v>2.5</v>
      </c>
      <c r="H98">
        <f t="shared" si="6"/>
        <v>1.5811388300841898</v>
      </c>
      <c r="L98" t="str">
        <f t="shared" si="7"/>
        <v>Pai</v>
      </c>
      <c r="M98" t="str">
        <f t="shared" si="8"/>
        <v>es</v>
      </c>
      <c r="N98">
        <f t="shared" si="9"/>
        <v>32</v>
      </c>
    </row>
    <row r="99" spans="1:14" x14ac:dyDescent="0.25">
      <c r="A99" t="s">
        <v>22</v>
      </c>
      <c r="B99" t="s">
        <v>15</v>
      </c>
      <c r="C99" t="s">
        <v>34</v>
      </c>
      <c r="D99">
        <v>7.99</v>
      </c>
      <c r="E99">
        <v>6.8543115629990101</v>
      </c>
      <c r="F99" t="s">
        <v>17</v>
      </c>
      <c r="G99">
        <f t="shared" si="5"/>
        <v>8</v>
      </c>
      <c r="H99">
        <f t="shared" si="6"/>
        <v>2.8284271247461903</v>
      </c>
      <c r="L99" t="str">
        <f t="shared" si="7"/>
        <v>Pai</v>
      </c>
      <c r="M99" t="str">
        <f t="shared" si="8"/>
        <v>es</v>
      </c>
      <c r="N99">
        <f t="shared" si="9"/>
        <v>32</v>
      </c>
    </row>
    <row r="100" spans="1:14" x14ac:dyDescent="0.25">
      <c r="A100" t="s">
        <v>23</v>
      </c>
      <c r="B100" t="s">
        <v>15</v>
      </c>
      <c r="C100" t="s">
        <v>34</v>
      </c>
      <c r="D100">
        <v>13.59</v>
      </c>
      <c r="E100">
        <v>11.903386982402401</v>
      </c>
      <c r="F100" t="s">
        <v>17</v>
      </c>
      <c r="G100">
        <f t="shared" si="5"/>
        <v>13.6</v>
      </c>
      <c r="H100">
        <f t="shared" si="6"/>
        <v>3.687817782917155</v>
      </c>
      <c r="L100" t="str">
        <f t="shared" si="7"/>
        <v>Pai</v>
      </c>
      <c r="M100" t="str">
        <f t="shared" si="8"/>
        <v>es</v>
      </c>
      <c r="N100">
        <f t="shared" si="9"/>
        <v>32</v>
      </c>
    </row>
    <row r="101" spans="1:14" x14ac:dyDescent="0.25">
      <c r="A101" t="s">
        <v>22</v>
      </c>
      <c r="B101" t="s">
        <v>15</v>
      </c>
      <c r="C101" t="s">
        <v>34</v>
      </c>
      <c r="D101">
        <v>16.59</v>
      </c>
      <c r="E101">
        <v>14.7979963574097</v>
      </c>
      <c r="F101" t="s">
        <v>17</v>
      </c>
      <c r="G101">
        <f t="shared" si="5"/>
        <v>16.600000000000001</v>
      </c>
      <c r="H101">
        <f t="shared" si="6"/>
        <v>4.0743097574926725</v>
      </c>
      <c r="L101" t="str">
        <f t="shared" si="7"/>
        <v>Pai</v>
      </c>
      <c r="M101" t="str">
        <f t="shared" si="8"/>
        <v>es</v>
      </c>
      <c r="N101">
        <f t="shared" si="9"/>
        <v>32</v>
      </c>
    </row>
    <row r="102" spans="1:14" x14ac:dyDescent="0.25">
      <c r="A102" t="s">
        <v>14</v>
      </c>
      <c r="B102" t="s">
        <v>15</v>
      </c>
      <c r="C102" t="s">
        <v>34</v>
      </c>
      <c r="D102">
        <v>16.45</v>
      </c>
      <c r="E102">
        <v>14.8644453598382</v>
      </c>
      <c r="F102" t="s">
        <v>17</v>
      </c>
      <c r="G102">
        <f t="shared" si="5"/>
        <v>16.5</v>
      </c>
      <c r="H102">
        <f t="shared" si="6"/>
        <v>4.0620192023179804</v>
      </c>
      <c r="L102" t="str">
        <f t="shared" si="7"/>
        <v>Pai</v>
      </c>
      <c r="M102" t="str">
        <f t="shared" si="8"/>
        <v>es</v>
      </c>
      <c r="N102">
        <f t="shared" si="9"/>
        <v>32</v>
      </c>
    </row>
    <row r="103" spans="1:14" x14ac:dyDescent="0.25">
      <c r="A103" t="s">
        <v>14</v>
      </c>
      <c r="B103" t="s">
        <v>15</v>
      </c>
      <c r="C103" t="s">
        <v>34</v>
      </c>
      <c r="D103">
        <v>1.69</v>
      </c>
      <c r="E103">
        <v>1.46625946152001</v>
      </c>
      <c r="F103" t="s">
        <v>17</v>
      </c>
      <c r="G103">
        <f t="shared" si="5"/>
        <v>1.7</v>
      </c>
      <c r="H103">
        <f t="shared" si="6"/>
        <v>1.3038404810405297</v>
      </c>
      <c r="L103" t="str">
        <f t="shared" si="7"/>
        <v>Pai</v>
      </c>
      <c r="M103" t="str">
        <f t="shared" si="8"/>
        <v>es</v>
      </c>
      <c r="N103">
        <f t="shared" si="9"/>
        <v>32</v>
      </c>
    </row>
    <row r="104" spans="1:14" x14ac:dyDescent="0.25">
      <c r="A104" t="s">
        <v>22</v>
      </c>
      <c r="B104" t="s">
        <v>15</v>
      </c>
      <c r="C104" t="s">
        <v>34</v>
      </c>
      <c r="D104">
        <v>14.99</v>
      </c>
      <c r="E104">
        <v>13.248673217691699</v>
      </c>
      <c r="F104" t="s">
        <v>21</v>
      </c>
      <c r="G104">
        <f t="shared" si="5"/>
        <v>15</v>
      </c>
      <c r="H104">
        <f t="shared" si="6"/>
        <v>3.872983346207417</v>
      </c>
      <c r="L104" t="str">
        <f t="shared" si="7"/>
        <v>Pai</v>
      </c>
      <c r="M104" t="str">
        <f t="shared" si="8"/>
        <v>es</v>
      </c>
      <c r="N104">
        <f t="shared" si="9"/>
        <v>32</v>
      </c>
    </row>
    <row r="105" spans="1:14" x14ac:dyDescent="0.25">
      <c r="A105" t="s">
        <v>14</v>
      </c>
      <c r="B105" t="s">
        <v>15</v>
      </c>
      <c r="C105" t="s">
        <v>34</v>
      </c>
      <c r="D105">
        <v>17.97</v>
      </c>
      <c r="E105">
        <v>16.510941701848001</v>
      </c>
      <c r="F105" t="s">
        <v>17</v>
      </c>
      <c r="G105">
        <f t="shared" si="5"/>
        <v>18</v>
      </c>
      <c r="H105">
        <f t="shared" si="6"/>
        <v>4.2426406871192848</v>
      </c>
      <c r="L105" t="str">
        <f t="shared" si="7"/>
        <v>Pai</v>
      </c>
      <c r="M105" t="str">
        <f t="shared" si="8"/>
        <v>es</v>
      </c>
      <c r="N105">
        <f t="shared" si="9"/>
        <v>32</v>
      </c>
    </row>
    <row r="106" spans="1:14" x14ac:dyDescent="0.25">
      <c r="A106" t="s">
        <v>14</v>
      </c>
      <c r="B106" t="s">
        <v>15</v>
      </c>
      <c r="C106" t="s">
        <v>34</v>
      </c>
      <c r="D106">
        <v>16.989999999999998</v>
      </c>
      <c r="E106">
        <v>15.2454818239109</v>
      </c>
      <c r="F106" t="s">
        <v>21</v>
      </c>
      <c r="G106">
        <f t="shared" si="5"/>
        <v>17</v>
      </c>
      <c r="H106">
        <f t="shared" si="6"/>
        <v>4.1231056256176606</v>
      </c>
      <c r="L106" t="str">
        <f t="shared" si="7"/>
        <v>Pai</v>
      </c>
      <c r="M106" t="str">
        <f t="shared" si="8"/>
        <v>es</v>
      </c>
      <c r="N106">
        <f t="shared" si="9"/>
        <v>32</v>
      </c>
    </row>
    <row r="107" spans="1:14" x14ac:dyDescent="0.25">
      <c r="A107" t="s">
        <v>24</v>
      </c>
      <c r="B107" t="s">
        <v>15</v>
      </c>
      <c r="C107" t="s">
        <v>34</v>
      </c>
      <c r="D107">
        <v>7.99</v>
      </c>
      <c r="E107">
        <v>7.1759314797050404</v>
      </c>
      <c r="F107" t="s">
        <v>17</v>
      </c>
      <c r="G107">
        <f t="shared" si="5"/>
        <v>8</v>
      </c>
      <c r="H107">
        <f t="shared" si="6"/>
        <v>2.8284271247461903</v>
      </c>
      <c r="L107" t="str">
        <f t="shared" si="7"/>
        <v>Pai</v>
      </c>
      <c r="M107" t="str">
        <f t="shared" si="8"/>
        <v>es</v>
      </c>
      <c r="N107">
        <f t="shared" si="9"/>
        <v>32</v>
      </c>
    </row>
    <row r="108" spans="1:14" x14ac:dyDescent="0.25">
      <c r="A108" t="s">
        <v>24</v>
      </c>
      <c r="B108" t="s">
        <v>15</v>
      </c>
      <c r="C108" t="s">
        <v>34</v>
      </c>
      <c r="D108">
        <v>14.99</v>
      </c>
      <c r="E108">
        <v>12.9144165132998</v>
      </c>
      <c r="F108" t="s">
        <v>17</v>
      </c>
      <c r="G108">
        <f t="shared" si="5"/>
        <v>15</v>
      </c>
      <c r="H108">
        <f t="shared" si="6"/>
        <v>3.872983346207417</v>
      </c>
      <c r="L108" t="str">
        <f t="shared" si="7"/>
        <v>Pai</v>
      </c>
      <c r="M108" t="str">
        <f t="shared" si="8"/>
        <v>es</v>
      </c>
      <c r="N108">
        <f t="shared" si="9"/>
        <v>32</v>
      </c>
    </row>
    <row r="109" spans="1:14" x14ac:dyDescent="0.25">
      <c r="A109" t="s">
        <v>22</v>
      </c>
      <c r="B109" t="s">
        <v>15</v>
      </c>
      <c r="C109" t="s">
        <v>34</v>
      </c>
      <c r="D109">
        <v>18.97</v>
      </c>
      <c r="E109">
        <v>17.471336983917102</v>
      </c>
      <c r="F109" t="s">
        <v>17</v>
      </c>
      <c r="G109">
        <f t="shared" si="5"/>
        <v>19</v>
      </c>
      <c r="H109">
        <f t="shared" si="6"/>
        <v>4.358898943540674</v>
      </c>
      <c r="L109" t="str">
        <f t="shared" si="7"/>
        <v>Pai</v>
      </c>
      <c r="M109" t="str">
        <f t="shared" si="8"/>
        <v>es</v>
      </c>
      <c r="N109">
        <f t="shared" si="9"/>
        <v>32</v>
      </c>
    </row>
    <row r="110" spans="1:14" x14ac:dyDescent="0.25">
      <c r="A110" t="s">
        <v>14</v>
      </c>
      <c r="B110" t="s">
        <v>15</v>
      </c>
      <c r="C110" t="s">
        <v>35</v>
      </c>
      <c r="D110">
        <v>20.59</v>
      </c>
      <c r="E110">
        <v>18.3002398897804</v>
      </c>
      <c r="F110" t="s">
        <v>17</v>
      </c>
      <c r="G110">
        <f t="shared" si="5"/>
        <v>20.6</v>
      </c>
      <c r="H110">
        <f t="shared" si="6"/>
        <v>4.5387222871640871</v>
      </c>
      <c r="L110" t="str">
        <f t="shared" si="7"/>
        <v>Par</v>
      </c>
      <c r="M110" t="str">
        <f t="shared" si="8"/>
        <v>es</v>
      </c>
      <c r="N110">
        <f t="shared" si="9"/>
        <v>28</v>
      </c>
    </row>
    <row r="111" spans="1:14" x14ac:dyDescent="0.25">
      <c r="A111" t="s">
        <v>14</v>
      </c>
      <c r="B111" t="s">
        <v>15</v>
      </c>
      <c r="C111" t="s">
        <v>35</v>
      </c>
      <c r="D111">
        <v>14.96</v>
      </c>
      <c r="E111">
        <v>13.3646344154508</v>
      </c>
      <c r="F111" t="s">
        <v>17</v>
      </c>
      <c r="G111">
        <f t="shared" si="5"/>
        <v>15</v>
      </c>
      <c r="H111">
        <f t="shared" si="6"/>
        <v>3.872983346207417</v>
      </c>
      <c r="L111" t="str">
        <f t="shared" si="7"/>
        <v>Par</v>
      </c>
      <c r="M111" t="str">
        <f t="shared" si="8"/>
        <v>es</v>
      </c>
      <c r="N111">
        <f t="shared" si="9"/>
        <v>28</v>
      </c>
    </row>
    <row r="112" spans="1:14" x14ac:dyDescent="0.25">
      <c r="A112" t="s">
        <v>14</v>
      </c>
      <c r="B112" t="s">
        <v>15</v>
      </c>
      <c r="C112" t="s">
        <v>35</v>
      </c>
      <c r="D112">
        <v>17.79</v>
      </c>
      <c r="E112">
        <v>15.8169131699098</v>
      </c>
      <c r="F112" t="s">
        <v>17</v>
      </c>
      <c r="G112">
        <f t="shared" si="5"/>
        <v>17.8</v>
      </c>
      <c r="H112">
        <f t="shared" si="6"/>
        <v>4.2190046219457971</v>
      </c>
      <c r="L112" t="str">
        <f t="shared" si="7"/>
        <v>Par</v>
      </c>
      <c r="M112" t="str">
        <f t="shared" si="8"/>
        <v>es</v>
      </c>
      <c r="N112">
        <f t="shared" si="9"/>
        <v>28</v>
      </c>
    </row>
    <row r="113" spans="1:14" x14ac:dyDescent="0.25">
      <c r="A113" t="s">
        <v>14</v>
      </c>
      <c r="B113" t="s">
        <v>15</v>
      </c>
      <c r="C113" t="s">
        <v>35</v>
      </c>
      <c r="D113">
        <v>14.99</v>
      </c>
      <c r="E113">
        <v>12.781267786084401</v>
      </c>
      <c r="F113" t="s">
        <v>21</v>
      </c>
      <c r="G113">
        <f t="shared" si="5"/>
        <v>15</v>
      </c>
      <c r="H113">
        <f t="shared" si="6"/>
        <v>3.872983346207417</v>
      </c>
      <c r="L113" t="str">
        <f t="shared" si="7"/>
        <v>Par</v>
      </c>
      <c r="M113" t="str">
        <f t="shared" si="8"/>
        <v>es</v>
      </c>
      <c r="N113">
        <f t="shared" si="9"/>
        <v>28</v>
      </c>
    </row>
    <row r="114" spans="1:14" x14ac:dyDescent="0.25">
      <c r="A114" t="s">
        <v>14</v>
      </c>
      <c r="B114" t="s">
        <v>15</v>
      </c>
      <c r="C114" t="s">
        <v>35</v>
      </c>
      <c r="D114">
        <v>5.59</v>
      </c>
      <c r="E114">
        <v>4.8235389323894999</v>
      </c>
      <c r="F114" t="s">
        <v>21</v>
      </c>
      <c r="G114">
        <f t="shared" si="5"/>
        <v>5.6</v>
      </c>
      <c r="H114">
        <f t="shared" si="6"/>
        <v>2.3664319132398464</v>
      </c>
      <c r="L114" t="str">
        <f t="shared" si="7"/>
        <v>Par</v>
      </c>
      <c r="M114" t="str">
        <f t="shared" si="8"/>
        <v>es</v>
      </c>
      <c r="N114">
        <f t="shared" si="9"/>
        <v>28</v>
      </c>
    </row>
    <row r="115" spans="1:14" x14ac:dyDescent="0.25">
      <c r="A115" t="s">
        <v>22</v>
      </c>
      <c r="B115" t="s">
        <v>15</v>
      </c>
      <c r="C115" t="s">
        <v>35</v>
      </c>
      <c r="D115">
        <v>18.989999999999998</v>
      </c>
      <c r="E115">
        <v>17.1236586779434</v>
      </c>
      <c r="F115" t="s">
        <v>17</v>
      </c>
      <c r="G115">
        <f t="shared" si="5"/>
        <v>19</v>
      </c>
      <c r="H115">
        <f t="shared" si="6"/>
        <v>4.358898943540674</v>
      </c>
      <c r="L115" t="str">
        <f t="shared" si="7"/>
        <v>Par</v>
      </c>
      <c r="M115" t="str">
        <f t="shared" si="8"/>
        <v>es</v>
      </c>
      <c r="N115">
        <f t="shared" si="9"/>
        <v>28</v>
      </c>
    </row>
    <row r="116" spans="1:14" x14ac:dyDescent="0.25">
      <c r="A116" t="s">
        <v>23</v>
      </c>
      <c r="B116" t="s">
        <v>15</v>
      </c>
      <c r="C116" t="s">
        <v>35</v>
      </c>
      <c r="D116">
        <v>16.989999999999998</v>
      </c>
      <c r="E116">
        <v>14.625891783699799</v>
      </c>
      <c r="F116" t="s">
        <v>17</v>
      </c>
      <c r="G116">
        <f t="shared" si="5"/>
        <v>17</v>
      </c>
      <c r="H116">
        <f t="shared" si="6"/>
        <v>4.1231056256176606</v>
      </c>
      <c r="L116" t="str">
        <f t="shared" si="7"/>
        <v>Par</v>
      </c>
      <c r="M116" t="str">
        <f t="shared" si="8"/>
        <v>es</v>
      </c>
      <c r="N116">
        <f t="shared" si="9"/>
        <v>28</v>
      </c>
    </row>
    <row r="117" spans="1:14" x14ac:dyDescent="0.25">
      <c r="A117" t="s">
        <v>23</v>
      </c>
      <c r="B117" t="s">
        <v>15</v>
      </c>
      <c r="C117" t="s">
        <v>35</v>
      </c>
      <c r="D117">
        <v>19.989999999999998</v>
      </c>
      <c r="E117">
        <v>18.508658057793301</v>
      </c>
      <c r="F117" t="s">
        <v>17</v>
      </c>
      <c r="G117">
        <f t="shared" si="5"/>
        <v>20</v>
      </c>
      <c r="H117">
        <f t="shared" si="6"/>
        <v>4.4721359549995796</v>
      </c>
      <c r="L117" t="str">
        <f t="shared" si="7"/>
        <v>Par</v>
      </c>
      <c r="M117" t="str">
        <f t="shared" si="8"/>
        <v>es</v>
      </c>
      <c r="N117">
        <f t="shared" si="9"/>
        <v>28</v>
      </c>
    </row>
    <row r="118" spans="1:14" x14ac:dyDescent="0.25">
      <c r="A118" t="s">
        <v>14</v>
      </c>
      <c r="B118" t="s">
        <v>15</v>
      </c>
      <c r="C118" t="s">
        <v>35</v>
      </c>
      <c r="D118">
        <v>12.98</v>
      </c>
      <c r="E118">
        <v>12.305148774578701</v>
      </c>
      <c r="F118" t="s">
        <v>17</v>
      </c>
      <c r="G118">
        <f t="shared" si="5"/>
        <v>13</v>
      </c>
      <c r="H118">
        <f t="shared" si="6"/>
        <v>3.6055512754639891</v>
      </c>
      <c r="L118" t="str">
        <f t="shared" si="7"/>
        <v>Par</v>
      </c>
      <c r="M118" t="str">
        <f t="shared" si="8"/>
        <v>es</v>
      </c>
      <c r="N118">
        <f t="shared" si="9"/>
        <v>28</v>
      </c>
    </row>
    <row r="119" spans="1:14" x14ac:dyDescent="0.25">
      <c r="A119" t="s">
        <v>14</v>
      </c>
      <c r="B119" t="s">
        <v>15</v>
      </c>
      <c r="C119" t="s">
        <v>35</v>
      </c>
      <c r="D119">
        <v>15.99</v>
      </c>
      <c r="E119">
        <v>14.682145759685501</v>
      </c>
      <c r="F119" t="s">
        <v>17</v>
      </c>
      <c r="G119">
        <f t="shared" si="5"/>
        <v>16</v>
      </c>
      <c r="H119">
        <f t="shared" si="6"/>
        <v>4</v>
      </c>
      <c r="L119" t="str">
        <f t="shared" si="7"/>
        <v>Par</v>
      </c>
      <c r="M119" t="str">
        <f t="shared" si="8"/>
        <v>es</v>
      </c>
      <c r="N119">
        <f t="shared" si="9"/>
        <v>28</v>
      </c>
    </row>
    <row r="120" spans="1:14" x14ac:dyDescent="0.25">
      <c r="A120" t="s">
        <v>22</v>
      </c>
      <c r="B120" t="s">
        <v>15</v>
      </c>
      <c r="C120" t="s">
        <v>35</v>
      </c>
      <c r="D120">
        <v>4.99</v>
      </c>
      <c r="E120">
        <v>4.4088226004939504</v>
      </c>
      <c r="F120" t="s">
        <v>17</v>
      </c>
      <c r="G120">
        <f t="shared" si="5"/>
        <v>5</v>
      </c>
      <c r="H120">
        <f t="shared" si="6"/>
        <v>2.2360679774997898</v>
      </c>
      <c r="L120" t="str">
        <f t="shared" si="7"/>
        <v>Par</v>
      </c>
      <c r="M120" t="str">
        <f t="shared" si="8"/>
        <v>es</v>
      </c>
      <c r="N120">
        <f t="shared" si="9"/>
        <v>28</v>
      </c>
    </row>
    <row r="121" spans="1:14" x14ac:dyDescent="0.25">
      <c r="A121" t="s">
        <v>22</v>
      </c>
      <c r="B121" t="s">
        <v>15</v>
      </c>
      <c r="C121" t="s">
        <v>36</v>
      </c>
      <c r="D121">
        <v>12.34</v>
      </c>
      <c r="E121">
        <v>10.9434143974928</v>
      </c>
      <c r="F121" t="s">
        <v>17</v>
      </c>
      <c r="G121">
        <f t="shared" si="5"/>
        <v>12.3</v>
      </c>
      <c r="H121">
        <f t="shared" si="6"/>
        <v>3.5071355833500366</v>
      </c>
      <c r="L121" t="str">
        <f t="shared" si="7"/>
        <v>Pri</v>
      </c>
      <c r="M121" t="str">
        <f t="shared" si="8"/>
        <v>ng</v>
      </c>
      <c r="N121">
        <f t="shared" si="9"/>
        <v>11</v>
      </c>
    </row>
    <row r="122" spans="1:14" x14ac:dyDescent="0.25">
      <c r="A122" t="s">
        <v>14</v>
      </c>
      <c r="B122" t="s">
        <v>15</v>
      </c>
      <c r="C122" t="s">
        <v>36</v>
      </c>
      <c r="D122">
        <v>129</v>
      </c>
      <c r="E122">
        <v>117.916052071921</v>
      </c>
      <c r="F122" t="s">
        <v>17</v>
      </c>
      <c r="G122">
        <f t="shared" si="5"/>
        <v>129</v>
      </c>
      <c r="H122">
        <f t="shared" si="6"/>
        <v>11.357816691600547</v>
      </c>
      <c r="L122" t="str">
        <f t="shared" si="7"/>
        <v>Pri</v>
      </c>
      <c r="M122" t="str">
        <f t="shared" si="8"/>
        <v>ng</v>
      </c>
      <c r="N122">
        <f t="shared" si="9"/>
        <v>11</v>
      </c>
    </row>
    <row r="123" spans="1:14" x14ac:dyDescent="0.25">
      <c r="A123" t="s">
        <v>24</v>
      </c>
      <c r="B123" t="s">
        <v>15</v>
      </c>
      <c r="C123" t="s">
        <v>36</v>
      </c>
      <c r="D123">
        <v>6.99</v>
      </c>
      <c r="E123">
        <v>6.4532593824140196</v>
      </c>
      <c r="F123" t="s">
        <v>17</v>
      </c>
      <c r="G123">
        <f t="shared" si="5"/>
        <v>7</v>
      </c>
      <c r="H123">
        <f t="shared" si="6"/>
        <v>2.6457513110645907</v>
      </c>
      <c r="L123" t="str">
        <f t="shared" si="7"/>
        <v>Pri</v>
      </c>
      <c r="M123" t="str">
        <f t="shared" si="8"/>
        <v>ng</v>
      </c>
      <c r="N123">
        <f t="shared" si="9"/>
        <v>11</v>
      </c>
    </row>
    <row r="124" spans="1:14" x14ac:dyDescent="0.25">
      <c r="A124" t="s">
        <v>14</v>
      </c>
      <c r="B124" t="s">
        <v>15</v>
      </c>
      <c r="C124" t="s">
        <v>36</v>
      </c>
      <c r="D124">
        <v>29.99</v>
      </c>
      <c r="E124">
        <v>27.588926122419998</v>
      </c>
      <c r="F124" t="s">
        <v>17</v>
      </c>
      <c r="G124">
        <f t="shared" si="5"/>
        <v>30</v>
      </c>
      <c r="H124">
        <f t="shared" si="6"/>
        <v>5.4772255750516612</v>
      </c>
      <c r="L124" t="str">
        <f t="shared" si="7"/>
        <v>Pri</v>
      </c>
      <c r="M124" t="str">
        <f t="shared" si="8"/>
        <v>ng</v>
      </c>
      <c r="N124">
        <f t="shared" si="9"/>
        <v>11</v>
      </c>
    </row>
    <row r="125" spans="1:14" x14ac:dyDescent="0.25">
      <c r="A125" t="s">
        <v>14</v>
      </c>
      <c r="B125" t="s">
        <v>15</v>
      </c>
      <c r="C125" t="s">
        <v>36</v>
      </c>
      <c r="D125">
        <v>11.99</v>
      </c>
      <c r="E125">
        <v>10.1934821458249</v>
      </c>
      <c r="F125" t="s">
        <v>17</v>
      </c>
      <c r="G125">
        <f t="shared" si="5"/>
        <v>12</v>
      </c>
      <c r="H125">
        <f t="shared" si="6"/>
        <v>3.4641016151377544</v>
      </c>
      <c r="L125" t="str">
        <f t="shared" si="7"/>
        <v>Pri</v>
      </c>
      <c r="M125" t="str">
        <f t="shared" si="8"/>
        <v>ng</v>
      </c>
      <c r="N125">
        <f t="shared" si="9"/>
        <v>11</v>
      </c>
    </row>
    <row r="126" spans="1:14" x14ac:dyDescent="0.25">
      <c r="A126" t="s">
        <v>24</v>
      </c>
      <c r="B126" t="s">
        <v>15</v>
      </c>
      <c r="C126" t="s">
        <v>36</v>
      </c>
      <c r="D126">
        <v>36.99</v>
      </c>
      <c r="E126">
        <v>34.614750481212901</v>
      </c>
      <c r="F126" t="s">
        <v>17</v>
      </c>
      <c r="G126">
        <f t="shared" si="5"/>
        <v>37</v>
      </c>
      <c r="H126">
        <f t="shared" si="6"/>
        <v>6.0827625302982193</v>
      </c>
      <c r="L126" t="str">
        <f t="shared" si="7"/>
        <v>Pri</v>
      </c>
      <c r="M126" t="str">
        <f t="shared" si="8"/>
        <v>ng</v>
      </c>
      <c r="N126">
        <f t="shared" si="9"/>
        <v>11</v>
      </c>
    </row>
    <row r="127" spans="1:14" x14ac:dyDescent="0.25">
      <c r="A127" t="s">
        <v>22</v>
      </c>
      <c r="B127" t="s">
        <v>15</v>
      </c>
      <c r="C127" t="s">
        <v>37</v>
      </c>
      <c r="D127">
        <v>4.99</v>
      </c>
      <c r="E127">
        <v>4.4293707678530403</v>
      </c>
      <c r="F127" t="s">
        <v>17</v>
      </c>
      <c r="G127">
        <f t="shared" si="5"/>
        <v>5</v>
      </c>
      <c r="H127">
        <f t="shared" si="6"/>
        <v>2.2360679774997898</v>
      </c>
      <c r="L127" t="str">
        <f t="shared" si="7"/>
        <v>Scr</v>
      </c>
      <c r="M127" t="str">
        <f t="shared" si="8"/>
        <v>ng</v>
      </c>
      <c r="N127">
        <f t="shared" si="9"/>
        <v>23</v>
      </c>
    </row>
    <row r="128" spans="1:14" x14ac:dyDescent="0.25">
      <c r="A128" t="s">
        <v>14</v>
      </c>
      <c r="B128" t="s">
        <v>15</v>
      </c>
      <c r="C128" t="s">
        <v>37</v>
      </c>
      <c r="D128">
        <v>15.76</v>
      </c>
      <c r="E128">
        <v>14.4499234737135</v>
      </c>
      <c r="F128" t="s">
        <v>17</v>
      </c>
      <c r="G128">
        <f t="shared" si="5"/>
        <v>15.8</v>
      </c>
      <c r="H128">
        <f t="shared" si="6"/>
        <v>3.9749213828703582</v>
      </c>
      <c r="L128" t="str">
        <f t="shared" si="7"/>
        <v>Scr</v>
      </c>
      <c r="M128" t="str">
        <f t="shared" si="8"/>
        <v>ng</v>
      </c>
      <c r="N128">
        <f t="shared" si="9"/>
        <v>23</v>
      </c>
    </row>
    <row r="129" spans="1:14" x14ac:dyDescent="0.25">
      <c r="A129" t="s">
        <v>22</v>
      </c>
      <c r="B129" t="s">
        <v>15</v>
      </c>
      <c r="C129" t="s">
        <v>37</v>
      </c>
      <c r="D129">
        <v>4.49</v>
      </c>
      <c r="E129">
        <v>4.2134327416102799</v>
      </c>
      <c r="F129" t="s">
        <v>17</v>
      </c>
      <c r="G129">
        <f t="shared" si="5"/>
        <v>4.5</v>
      </c>
      <c r="H129">
        <f t="shared" si="6"/>
        <v>2.1213203435596424</v>
      </c>
      <c r="L129" t="str">
        <f t="shared" si="7"/>
        <v>Scr</v>
      </c>
      <c r="M129" t="str">
        <f t="shared" si="8"/>
        <v>ng</v>
      </c>
      <c r="N129">
        <f t="shared" si="9"/>
        <v>23</v>
      </c>
    </row>
    <row r="130" spans="1:14" x14ac:dyDescent="0.25">
      <c r="A130" t="s">
        <v>14</v>
      </c>
      <c r="B130" t="s">
        <v>15</v>
      </c>
      <c r="C130" t="s">
        <v>37</v>
      </c>
      <c r="D130">
        <v>6.98</v>
      </c>
      <c r="E130">
        <v>6.2734296962526201</v>
      </c>
      <c r="F130" t="s">
        <v>17</v>
      </c>
      <c r="G130">
        <f t="shared" si="5"/>
        <v>7</v>
      </c>
      <c r="H130">
        <f t="shared" si="6"/>
        <v>2.6457513110645907</v>
      </c>
      <c r="L130" t="str">
        <f t="shared" si="7"/>
        <v>Scr</v>
      </c>
      <c r="M130" t="str">
        <f t="shared" si="8"/>
        <v>ng</v>
      </c>
      <c r="N130">
        <f t="shared" si="9"/>
        <v>23</v>
      </c>
    </row>
    <row r="131" spans="1:14" x14ac:dyDescent="0.25">
      <c r="A131" t="s">
        <v>22</v>
      </c>
      <c r="B131" t="s">
        <v>15</v>
      </c>
      <c r="C131" t="s">
        <v>37</v>
      </c>
      <c r="D131">
        <v>4.1100000000000003</v>
      </c>
      <c r="E131">
        <v>3.8253030105213099</v>
      </c>
      <c r="F131" t="s">
        <v>17</v>
      </c>
      <c r="G131">
        <f t="shared" ref="G131:G194" si="10">ROUND(D131,1)</f>
        <v>4.0999999999999996</v>
      </c>
      <c r="H131">
        <f t="shared" ref="H131:H194" si="11">SQRT(G131)</f>
        <v>2.0248456731316584</v>
      </c>
      <c r="L131" t="str">
        <f t="shared" ref="L131:L194" si="12">LEFT(C131,3)</f>
        <v>Scr</v>
      </c>
      <c r="M131" t="str">
        <f t="shared" ref="M131:M194" si="13">RIGHT(C131,2)</f>
        <v>ng</v>
      </c>
      <c r="N131">
        <f t="shared" ref="N131:N194" si="14">LEN(C131)</f>
        <v>23</v>
      </c>
    </row>
    <row r="132" spans="1:14" x14ac:dyDescent="0.25">
      <c r="A132" t="s">
        <v>14</v>
      </c>
      <c r="B132" t="s">
        <v>15</v>
      </c>
      <c r="C132" t="s">
        <v>37</v>
      </c>
      <c r="D132">
        <v>7.97</v>
      </c>
      <c r="E132">
        <v>7.2343941089736301</v>
      </c>
      <c r="F132" t="s">
        <v>17</v>
      </c>
      <c r="G132">
        <f t="shared" si="10"/>
        <v>8</v>
      </c>
      <c r="H132">
        <f t="shared" si="11"/>
        <v>2.8284271247461903</v>
      </c>
      <c r="L132" t="str">
        <f t="shared" si="12"/>
        <v>Scr</v>
      </c>
      <c r="M132" t="str">
        <f t="shared" si="13"/>
        <v>ng</v>
      </c>
      <c r="N132">
        <f t="shared" si="14"/>
        <v>23</v>
      </c>
    </row>
    <row r="133" spans="1:14" x14ac:dyDescent="0.25">
      <c r="A133" t="s">
        <v>14</v>
      </c>
      <c r="B133" t="s">
        <v>15</v>
      </c>
      <c r="C133" t="s">
        <v>37</v>
      </c>
      <c r="D133">
        <v>8.8800000000000008</v>
      </c>
      <c r="E133">
        <v>7.89768002208561</v>
      </c>
      <c r="F133" t="s">
        <v>17</v>
      </c>
      <c r="G133">
        <f t="shared" si="10"/>
        <v>8.9</v>
      </c>
      <c r="H133">
        <f t="shared" si="11"/>
        <v>2.9832867780352594</v>
      </c>
      <c r="L133" t="str">
        <f t="shared" si="12"/>
        <v>Scr</v>
      </c>
      <c r="M133" t="str">
        <f t="shared" si="13"/>
        <v>ng</v>
      </c>
      <c r="N133">
        <f t="shared" si="14"/>
        <v>23</v>
      </c>
    </row>
    <row r="134" spans="1:14" x14ac:dyDescent="0.25">
      <c r="A134" t="s">
        <v>14</v>
      </c>
      <c r="B134" t="s">
        <v>15</v>
      </c>
      <c r="C134" t="s">
        <v>37</v>
      </c>
      <c r="D134">
        <v>8.9700000000000006</v>
      </c>
      <c r="E134">
        <v>8.1748547877692008</v>
      </c>
      <c r="F134" t="s">
        <v>17</v>
      </c>
      <c r="G134">
        <f t="shared" si="10"/>
        <v>9</v>
      </c>
      <c r="H134">
        <f t="shared" si="11"/>
        <v>3</v>
      </c>
      <c r="L134" t="str">
        <f t="shared" si="12"/>
        <v>Scr</v>
      </c>
      <c r="M134" t="str">
        <f t="shared" si="13"/>
        <v>ng</v>
      </c>
      <c r="N134">
        <f t="shared" si="14"/>
        <v>23</v>
      </c>
    </row>
    <row r="135" spans="1:14" x14ac:dyDescent="0.25">
      <c r="A135" t="s">
        <v>14</v>
      </c>
      <c r="B135" t="s">
        <v>15</v>
      </c>
      <c r="C135" t="s">
        <v>37</v>
      </c>
      <c r="D135">
        <v>14.29</v>
      </c>
      <c r="E135">
        <v>13.0551565421849</v>
      </c>
      <c r="F135" t="s">
        <v>17</v>
      </c>
      <c r="G135">
        <f t="shared" si="10"/>
        <v>14.3</v>
      </c>
      <c r="H135">
        <f t="shared" si="11"/>
        <v>3.7815340802378077</v>
      </c>
      <c r="L135" t="str">
        <f t="shared" si="12"/>
        <v>Scr</v>
      </c>
      <c r="M135" t="str">
        <f t="shared" si="13"/>
        <v>ng</v>
      </c>
      <c r="N135">
        <f t="shared" si="14"/>
        <v>23</v>
      </c>
    </row>
    <row r="136" spans="1:14" x14ac:dyDescent="0.25">
      <c r="A136" t="s">
        <v>14</v>
      </c>
      <c r="B136" t="s">
        <v>15</v>
      </c>
      <c r="C136" t="s">
        <v>37</v>
      </c>
      <c r="D136">
        <v>3.97</v>
      </c>
      <c r="E136">
        <v>3.55433880114512</v>
      </c>
      <c r="F136" t="s">
        <v>17</v>
      </c>
      <c r="G136">
        <f t="shared" si="10"/>
        <v>4</v>
      </c>
      <c r="H136">
        <f t="shared" si="11"/>
        <v>2</v>
      </c>
      <c r="L136" t="str">
        <f t="shared" si="12"/>
        <v>Scr</v>
      </c>
      <c r="M136" t="str">
        <f t="shared" si="13"/>
        <v>ng</v>
      </c>
      <c r="N136">
        <f t="shared" si="14"/>
        <v>23</v>
      </c>
    </row>
    <row r="137" spans="1:14" x14ac:dyDescent="0.25">
      <c r="A137" t="s">
        <v>14</v>
      </c>
      <c r="B137" t="s">
        <v>15</v>
      </c>
      <c r="C137" t="s">
        <v>37</v>
      </c>
      <c r="D137">
        <v>11.99</v>
      </c>
      <c r="E137">
        <v>10.255189876526201</v>
      </c>
      <c r="F137" t="s">
        <v>17</v>
      </c>
      <c r="G137">
        <f t="shared" si="10"/>
        <v>12</v>
      </c>
      <c r="H137">
        <f t="shared" si="11"/>
        <v>3.4641016151377544</v>
      </c>
      <c r="L137" t="str">
        <f t="shared" si="12"/>
        <v>Scr</v>
      </c>
      <c r="M137" t="str">
        <f t="shared" si="13"/>
        <v>ng</v>
      </c>
      <c r="N137">
        <f t="shared" si="14"/>
        <v>23</v>
      </c>
    </row>
    <row r="138" spans="1:14" x14ac:dyDescent="0.25">
      <c r="A138" t="s">
        <v>23</v>
      </c>
      <c r="B138" t="s">
        <v>15</v>
      </c>
      <c r="C138" t="s">
        <v>37</v>
      </c>
      <c r="D138">
        <v>3.79</v>
      </c>
      <c r="E138">
        <v>3.2544656540197598</v>
      </c>
      <c r="F138" t="s">
        <v>17</v>
      </c>
      <c r="G138">
        <f t="shared" si="10"/>
        <v>3.8</v>
      </c>
      <c r="H138">
        <f t="shared" si="11"/>
        <v>1.9493588689617927</v>
      </c>
      <c r="L138" t="str">
        <f t="shared" si="12"/>
        <v>Scr</v>
      </c>
      <c r="M138" t="str">
        <f t="shared" si="13"/>
        <v>ng</v>
      </c>
      <c r="N138">
        <f t="shared" si="14"/>
        <v>23</v>
      </c>
    </row>
    <row r="139" spans="1:14" x14ac:dyDescent="0.25">
      <c r="A139" t="s">
        <v>24</v>
      </c>
      <c r="B139" t="s">
        <v>15</v>
      </c>
      <c r="C139" t="s">
        <v>38</v>
      </c>
      <c r="D139">
        <v>4.49</v>
      </c>
      <c r="E139">
        <v>4.08620099070178</v>
      </c>
      <c r="F139" t="s">
        <v>21</v>
      </c>
      <c r="G139">
        <f t="shared" si="10"/>
        <v>4.5</v>
      </c>
      <c r="H139">
        <f t="shared" si="11"/>
        <v>2.1213203435596424</v>
      </c>
      <c r="L139" t="str">
        <f t="shared" si="12"/>
        <v>Sew</v>
      </c>
      <c r="M139" t="str">
        <f t="shared" si="13"/>
        <v>ng</v>
      </c>
      <c r="N139">
        <f t="shared" si="14"/>
        <v>6</v>
      </c>
    </row>
    <row r="140" spans="1:14" x14ac:dyDescent="0.25">
      <c r="A140" t="s">
        <v>33</v>
      </c>
      <c r="B140" t="s">
        <v>15</v>
      </c>
      <c r="C140" t="s">
        <v>38</v>
      </c>
      <c r="D140">
        <v>2.08</v>
      </c>
      <c r="E140">
        <v>1.9045372480379901</v>
      </c>
      <c r="F140" t="s">
        <v>21</v>
      </c>
      <c r="G140">
        <f t="shared" si="10"/>
        <v>2.1</v>
      </c>
      <c r="H140">
        <f t="shared" si="11"/>
        <v>1.4491376746189439</v>
      </c>
      <c r="L140" t="str">
        <f t="shared" si="12"/>
        <v>Sew</v>
      </c>
      <c r="M140" t="str">
        <f t="shared" si="13"/>
        <v>ng</v>
      </c>
      <c r="N140">
        <f t="shared" si="14"/>
        <v>6</v>
      </c>
    </row>
    <row r="141" spans="1:14" x14ac:dyDescent="0.25">
      <c r="A141" t="s">
        <v>24</v>
      </c>
      <c r="B141" t="s">
        <v>15</v>
      </c>
      <c r="C141" t="s">
        <v>38</v>
      </c>
      <c r="D141">
        <v>5.95</v>
      </c>
      <c r="E141">
        <v>5.5028864467967997</v>
      </c>
      <c r="F141" t="s">
        <v>21</v>
      </c>
      <c r="G141">
        <f t="shared" si="10"/>
        <v>6</v>
      </c>
      <c r="H141">
        <f t="shared" si="11"/>
        <v>2.4494897427831779</v>
      </c>
      <c r="L141" t="str">
        <f t="shared" si="12"/>
        <v>Sew</v>
      </c>
      <c r="M141" t="str">
        <f t="shared" si="13"/>
        <v>ng</v>
      </c>
      <c r="N141">
        <f t="shared" si="14"/>
        <v>6</v>
      </c>
    </row>
    <row r="142" spans="1:14" x14ac:dyDescent="0.25">
      <c r="A142" t="s">
        <v>22</v>
      </c>
      <c r="B142" t="s">
        <v>15</v>
      </c>
      <c r="C142" t="s">
        <v>38</v>
      </c>
      <c r="D142">
        <v>9.39</v>
      </c>
      <c r="E142">
        <v>8.5458112923612592</v>
      </c>
      <c r="F142" t="s">
        <v>21</v>
      </c>
      <c r="G142">
        <f t="shared" si="10"/>
        <v>9.4</v>
      </c>
      <c r="H142">
        <f t="shared" si="11"/>
        <v>3.0659419433511785</v>
      </c>
      <c r="L142" t="str">
        <f t="shared" si="12"/>
        <v>Sew</v>
      </c>
      <c r="M142" t="str">
        <f t="shared" si="13"/>
        <v>ng</v>
      </c>
      <c r="N142">
        <f t="shared" si="14"/>
        <v>6</v>
      </c>
    </row>
    <row r="143" spans="1:14" x14ac:dyDescent="0.25">
      <c r="A143" t="s">
        <v>22</v>
      </c>
      <c r="B143" t="s">
        <v>15</v>
      </c>
      <c r="C143" t="s">
        <v>38</v>
      </c>
      <c r="D143">
        <v>8.99</v>
      </c>
      <c r="E143">
        <v>8.1579714454259395</v>
      </c>
      <c r="F143" t="s">
        <v>21</v>
      </c>
      <c r="G143">
        <f t="shared" si="10"/>
        <v>9</v>
      </c>
      <c r="H143">
        <f t="shared" si="11"/>
        <v>3</v>
      </c>
      <c r="L143" t="str">
        <f t="shared" si="12"/>
        <v>Sew</v>
      </c>
      <c r="M143" t="str">
        <f t="shared" si="13"/>
        <v>ng</v>
      </c>
      <c r="N143">
        <f t="shared" si="14"/>
        <v>6</v>
      </c>
    </row>
    <row r="144" spans="1:14" x14ac:dyDescent="0.25">
      <c r="A144" t="s">
        <v>22</v>
      </c>
      <c r="B144" t="s">
        <v>15</v>
      </c>
      <c r="C144" t="s">
        <v>38</v>
      </c>
      <c r="D144">
        <v>18.989999999999998</v>
      </c>
      <c r="E144">
        <v>16.2101305950804</v>
      </c>
      <c r="F144" t="s">
        <v>17</v>
      </c>
      <c r="G144">
        <f t="shared" si="10"/>
        <v>19</v>
      </c>
      <c r="H144">
        <f t="shared" si="11"/>
        <v>4.358898943540674</v>
      </c>
      <c r="L144" t="str">
        <f t="shared" si="12"/>
        <v>Sew</v>
      </c>
      <c r="M144" t="str">
        <f t="shared" si="13"/>
        <v>ng</v>
      </c>
      <c r="N144">
        <f t="shared" si="14"/>
        <v>6</v>
      </c>
    </row>
    <row r="145" spans="1:14" x14ac:dyDescent="0.25">
      <c r="A145" t="s">
        <v>22</v>
      </c>
      <c r="B145" t="s">
        <v>15</v>
      </c>
      <c r="C145" t="s">
        <v>38</v>
      </c>
      <c r="D145">
        <v>4.6399999999999997</v>
      </c>
      <c r="E145">
        <v>4.1456214090644599</v>
      </c>
      <c r="F145" t="s">
        <v>17</v>
      </c>
      <c r="G145">
        <f t="shared" si="10"/>
        <v>4.5999999999999996</v>
      </c>
      <c r="H145">
        <f t="shared" si="11"/>
        <v>2.1447610589527217</v>
      </c>
      <c r="L145" t="str">
        <f t="shared" si="12"/>
        <v>Sew</v>
      </c>
      <c r="M145" t="str">
        <f t="shared" si="13"/>
        <v>ng</v>
      </c>
      <c r="N145">
        <f t="shared" si="14"/>
        <v>6</v>
      </c>
    </row>
    <row r="146" spans="1:14" x14ac:dyDescent="0.25">
      <c r="A146" t="s">
        <v>14</v>
      </c>
      <c r="B146" t="s">
        <v>15</v>
      </c>
      <c r="C146" t="s">
        <v>38</v>
      </c>
      <c r="D146">
        <v>7.59</v>
      </c>
      <c r="E146">
        <v>6.4916167565098597</v>
      </c>
      <c r="F146" t="s">
        <v>17</v>
      </c>
      <c r="G146">
        <f t="shared" si="10"/>
        <v>7.6</v>
      </c>
      <c r="H146">
        <f t="shared" si="11"/>
        <v>2.7568097504180442</v>
      </c>
      <c r="L146" t="str">
        <f t="shared" si="12"/>
        <v>Sew</v>
      </c>
      <c r="M146" t="str">
        <f t="shared" si="13"/>
        <v>ng</v>
      </c>
      <c r="N146">
        <f t="shared" si="14"/>
        <v>6</v>
      </c>
    </row>
    <row r="147" spans="1:14" x14ac:dyDescent="0.25">
      <c r="A147" t="s">
        <v>14</v>
      </c>
      <c r="B147" t="s">
        <v>15</v>
      </c>
      <c r="C147" t="s">
        <v>38</v>
      </c>
      <c r="D147">
        <v>4.49</v>
      </c>
      <c r="E147">
        <v>3.9407842312769401</v>
      </c>
      <c r="F147" t="s">
        <v>17</v>
      </c>
      <c r="G147">
        <f t="shared" si="10"/>
        <v>4.5</v>
      </c>
      <c r="H147">
        <f t="shared" si="11"/>
        <v>2.1213203435596424</v>
      </c>
      <c r="L147" t="str">
        <f t="shared" si="12"/>
        <v>Sew</v>
      </c>
      <c r="M147" t="str">
        <f t="shared" si="13"/>
        <v>ng</v>
      </c>
      <c r="N147">
        <f t="shared" si="14"/>
        <v>6</v>
      </c>
    </row>
    <row r="148" spans="1:14" x14ac:dyDescent="0.25">
      <c r="A148" t="s">
        <v>24</v>
      </c>
      <c r="B148" t="s">
        <v>15</v>
      </c>
      <c r="C148" t="s">
        <v>38</v>
      </c>
      <c r="D148">
        <v>9.9499999999999993</v>
      </c>
      <c r="E148">
        <v>8.9096678795438304</v>
      </c>
      <c r="F148" t="s">
        <v>17</v>
      </c>
      <c r="G148">
        <f t="shared" si="10"/>
        <v>10</v>
      </c>
      <c r="H148">
        <f t="shared" si="11"/>
        <v>3.1622776601683795</v>
      </c>
      <c r="L148" t="str">
        <f t="shared" si="12"/>
        <v>Sew</v>
      </c>
      <c r="M148" t="str">
        <f t="shared" si="13"/>
        <v>ng</v>
      </c>
      <c r="N148">
        <f t="shared" si="14"/>
        <v>6</v>
      </c>
    </row>
    <row r="149" spans="1:14" x14ac:dyDescent="0.25">
      <c r="A149" t="s">
        <v>14</v>
      </c>
      <c r="B149" t="s">
        <v>15</v>
      </c>
      <c r="C149" t="s">
        <v>38</v>
      </c>
      <c r="D149">
        <v>24.09</v>
      </c>
      <c r="E149">
        <v>22.515432888651102</v>
      </c>
      <c r="F149" t="s">
        <v>21</v>
      </c>
      <c r="G149">
        <f t="shared" si="10"/>
        <v>24.1</v>
      </c>
      <c r="H149">
        <f t="shared" si="11"/>
        <v>4.9091750834534311</v>
      </c>
      <c r="L149" t="str">
        <f t="shared" si="12"/>
        <v>Sew</v>
      </c>
      <c r="M149" t="str">
        <f t="shared" si="13"/>
        <v>ng</v>
      </c>
      <c r="N149">
        <f t="shared" si="14"/>
        <v>6</v>
      </c>
    </row>
    <row r="150" spans="1:14" x14ac:dyDescent="0.25">
      <c r="A150" t="s">
        <v>14</v>
      </c>
      <c r="B150" t="s">
        <v>15</v>
      </c>
      <c r="C150" t="s">
        <v>38</v>
      </c>
      <c r="D150">
        <v>9.99</v>
      </c>
      <c r="E150">
        <v>9.24769228388109</v>
      </c>
      <c r="F150" t="s">
        <v>17</v>
      </c>
      <c r="G150">
        <f t="shared" si="10"/>
        <v>10</v>
      </c>
      <c r="H150">
        <f t="shared" si="11"/>
        <v>3.1622776601683795</v>
      </c>
      <c r="L150" t="str">
        <f t="shared" si="12"/>
        <v>Sew</v>
      </c>
      <c r="M150" t="str">
        <f t="shared" si="13"/>
        <v>ng</v>
      </c>
      <c r="N150">
        <f t="shared" si="14"/>
        <v>6</v>
      </c>
    </row>
    <row r="151" spans="1:14" x14ac:dyDescent="0.25">
      <c r="A151" t="s">
        <v>24</v>
      </c>
      <c r="B151" t="s">
        <v>15</v>
      </c>
      <c r="C151" t="s">
        <v>38</v>
      </c>
      <c r="D151">
        <v>4.79</v>
      </c>
      <c r="E151">
        <v>4.16150842108574</v>
      </c>
      <c r="F151" t="s">
        <v>17</v>
      </c>
      <c r="G151">
        <f t="shared" si="10"/>
        <v>4.8</v>
      </c>
      <c r="H151">
        <f t="shared" si="11"/>
        <v>2.1908902300206643</v>
      </c>
      <c r="L151" t="str">
        <f t="shared" si="12"/>
        <v>Sew</v>
      </c>
      <c r="M151" t="str">
        <f t="shared" si="13"/>
        <v>ng</v>
      </c>
      <c r="N151">
        <f t="shared" si="14"/>
        <v>6</v>
      </c>
    </row>
    <row r="152" spans="1:14" x14ac:dyDescent="0.25">
      <c r="A152" t="s">
        <v>14</v>
      </c>
      <c r="B152" t="s">
        <v>39</v>
      </c>
      <c r="C152" t="s">
        <v>40</v>
      </c>
      <c r="D152">
        <v>24.95</v>
      </c>
      <c r="E152">
        <v>21.315532146168199</v>
      </c>
      <c r="F152" t="s">
        <v>17</v>
      </c>
      <c r="G152">
        <f t="shared" si="10"/>
        <v>25</v>
      </c>
      <c r="H152">
        <f t="shared" si="11"/>
        <v>5</v>
      </c>
      <c r="L152" t="str">
        <f t="shared" si="12"/>
        <v>Car</v>
      </c>
      <c r="M152" t="str">
        <f t="shared" si="13"/>
        <v>es</v>
      </c>
      <c r="N152">
        <f t="shared" si="14"/>
        <v>29</v>
      </c>
    </row>
    <row r="153" spans="1:14" x14ac:dyDescent="0.25">
      <c r="A153" t="s">
        <v>14</v>
      </c>
      <c r="B153" t="s">
        <v>39</v>
      </c>
      <c r="C153" t="s">
        <v>40</v>
      </c>
      <c r="D153">
        <v>16.989999999999998</v>
      </c>
      <c r="E153">
        <v>14.551155642589199</v>
      </c>
      <c r="F153" t="s">
        <v>17</v>
      </c>
      <c r="G153">
        <f t="shared" si="10"/>
        <v>17</v>
      </c>
      <c r="H153">
        <f t="shared" si="11"/>
        <v>4.1231056256176606</v>
      </c>
      <c r="L153" t="str">
        <f t="shared" si="12"/>
        <v>Car</v>
      </c>
      <c r="M153" t="str">
        <f t="shared" si="13"/>
        <v>es</v>
      </c>
      <c r="N153">
        <f t="shared" si="14"/>
        <v>29</v>
      </c>
    </row>
    <row r="154" spans="1:14" x14ac:dyDescent="0.25">
      <c r="A154" t="s">
        <v>14</v>
      </c>
      <c r="B154" t="s">
        <v>39</v>
      </c>
      <c r="C154" t="s">
        <v>40</v>
      </c>
      <c r="D154">
        <v>9.99</v>
      </c>
      <c r="E154">
        <v>9.2886044078050105</v>
      </c>
      <c r="F154" t="s">
        <v>21</v>
      </c>
      <c r="G154">
        <f t="shared" si="10"/>
        <v>10</v>
      </c>
      <c r="H154">
        <f t="shared" si="11"/>
        <v>3.1622776601683795</v>
      </c>
      <c r="L154" t="str">
        <f t="shared" si="12"/>
        <v>Car</v>
      </c>
      <c r="M154" t="str">
        <f t="shared" si="13"/>
        <v>es</v>
      </c>
      <c r="N154">
        <f t="shared" si="14"/>
        <v>29</v>
      </c>
    </row>
    <row r="155" spans="1:14" x14ac:dyDescent="0.25">
      <c r="A155" t="s">
        <v>24</v>
      </c>
      <c r="B155" t="s">
        <v>39</v>
      </c>
      <c r="C155" t="s">
        <v>40</v>
      </c>
      <c r="D155">
        <v>18.989999999999998</v>
      </c>
      <c r="E155">
        <v>17.120375171822001</v>
      </c>
      <c r="F155" t="s">
        <v>17</v>
      </c>
      <c r="G155">
        <f t="shared" si="10"/>
        <v>19</v>
      </c>
      <c r="H155">
        <f t="shared" si="11"/>
        <v>4.358898943540674</v>
      </c>
      <c r="L155" t="str">
        <f t="shared" si="12"/>
        <v>Car</v>
      </c>
      <c r="M155" t="str">
        <f t="shared" si="13"/>
        <v>es</v>
      </c>
      <c r="N155">
        <f t="shared" si="14"/>
        <v>29</v>
      </c>
    </row>
    <row r="156" spans="1:14" x14ac:dyDescent="0.25">
      <c r="A156" t="s">
        <v>14</v>
      </c>
      <c r="B156" t="s">
        <v>39</v>
      </c>
      <c r="C156" t="s">
        <v>40</v>
      </c>
      <c r="D156">
        <v>12.95</v>
      </c>
      <c r="E156">
        <v>11.4371814006397</v>
      </c>
      <c r="F156" t="s">
        <v>17</v>
      </c>
      <c r="G156">
        <f t="shared" si="10"/>
        <v>13</v>
      </c>
      <c r="H156">
        <f t="shared" si="11"/>
        <v>3.6055512754639891</v>
      </c>
      <c r="L156" t="str">
        <f t="shared" si="12"/>
        <v>Car</v>
      </c>
      <c r="M156" t="str">
        <f t="shared" si="13"/>
        <v>es</v>
      </c>
      <c r="N156">
        <f t="shared" si="14"/>
        <v>29</v>
      </c>
    </row>
    <row r="157" spans="1:14" x14ac:dyDescent="0.25">
      <c r="A157" t="s">
        <v>22</v>
      </c>
      <c r="B157" t="s">
        <v>39</v>
      </c>
      <c r="C157" t="s">
        <v>40</v>
      </c>
      <c r="D157">
        <v>14.99</v>
      </c>
      <c r="E157">
        <v>13.816036152214499</v>
      </c>
      <c r="F157" t="s">
        <v>17</v>
      </c>
      <c r="G157">
        <f t="shared" si="10"/>
        <v>15</v>
      </c>
      <c r="H157">
        <f t="shared" si="11"/>
        <v>3.872983346207417</v>
      </c>
      <c r="L157" t="str">
        <f t="shared" si="12"/>
        <v>Car</v>
      </c>
      <c r="M157" t="str">
        <f t="shared" si="13"/>
        <v>es</v>
      </c>
      <c r="N157">
        <f t="shared" si="14"/>
        <v>29</v>
      </c>
    </row>
    <row r="158" spans="1:14" x14ac:dyDescent="0.25">
      <c r="A158" t="s">
        <v>33</v>
      </c>
      <c r="B158" t="s">
        <v>39</v>
      </c>
      <c r="C158" t="s">
        <v>40</v>
      </c>
      <c r="D158">
        <v>13.99</v>
      </c>
      <c r="E158">
        <v>12.449486746465301</v>
      </c>
      <c r="F158" t="s">
        <v>17</v>
      </c>
      <c r="G158">
        <f t="shared" si="10"/>
        <v>14</v>
      </c>
      <c r="H158">
        <f t="shared" si="11"/>
        <v>3.7416573867739413</v>
      </c>
      <c r="L158" t="str">
        <f t="shared" si="12"/>
        <v>Car</v>
      </c>
      <c r="M158" t="str">
        <f t="shared" si="13"/>
        <v>es</v>
      </c>
      <c r="N158">
        <f t="shared" si="14"/>
        <v>29</v>
      </c>
    </row>
    <row r="159" spans="1:14" x14ac:dyDescent="0.25">
      <c r="A159" t="s">
        <v>33</v>
      </c>
      <c r="B159" t="s">
        <v>39</v>
      </c>
      <c r="C159" t="s">
        <v>40</v>
      </c>
      <c r="D159">
        <v>16.989999999999998</v>
      </c>
      <c r="E159">
        <v>16.083303859250002</v>
      </c>
      <c r="F159" t="s">
        <v>21</v>
      </c>
      <c r="G159">
        <f t="shared" si="10"/>
        <v>17</v>
      </c>
      <c r="H159">
        <f t="shared" si="11"/>
        <v>4.1231056256176606</v>
      </c>
      <c r="L159" t="str">
        <f t="shared" si="12"/>
        <v>Car</v>
      </c>
      <c r="M159" t="str">
        <f t="shared" si="13"/>
        <v>es</v>
      </c>
      <c r="N159">
        <f t="shared" si="14"/>
        <v>29</v>
      </c>
    </row>
    <row r="160" spans="1:14" x14ac:dyDescent="0.25">
      <c r="A160" t="s">
        <v>24</v>
      </c>
      <c r="B160" t="s">
        <v>39</v>
      </c>
      <c r="C160" t="s">
        <v>40</v>
      </c>
      <c r="D160">
        <v>4.9800000000000004</v>
      </c>
      <c r="E160">
        <v>4.3121102180503597</v>
      </c>
      <c r="F160" t="s">
        <v>21</v>
      </c>
      <c r="G160">
        <f t="shared" si="10"/>
        <v>5</v>
      </c>
      <c r="H160">
        <f t="shared" si="11"/>
        <v>2.2360679774997898</v>
      </c>
      <c r="L160" t="str">
        <f t="shared" si="12"/>
        <v>Car</v>
      </c>
      <c r="M160" t="str">
        <f t="shared" si="13"/>
        <v>es</v>
      </c>
      <c r="N160">
        <f t="shared" si="14"/>
        <v>29</v>
      </c>
    </row>
    <row r="161" spans="1:14" x14ac:dyDescent="0.25">
      <c r="A161" t="s">
        <v>14</v>
      </c>
      <c r="B161" t="s">
        <v>39</v>
      </c>
      <c r="C161" t="s">
        <v>40</v>
      </c>
      <c r="D161">
        <v>119.99</v>
      </c>
      <c r="E161">
        <v>111.486835158845</v>
      </c>
      <c r="F161" t="s">
        <v>17</v>
      </c>
      <c r="G161">
        <f t="shared" si="10"/>
        <v>120</v>
      </c>
      <c r="H161">
        <f t="shared" si="11"/>
        <v>10.954451150103322</v>
      </c>
      <c r="L161" t="str">
        <f t="shared" si="12"/>
        <v>Car</v>
      </c>
      <c r="M161" t="str">
        <f t="shared" si="13"/>
        <v>es</v>
      </c>
      <c r="N161">
        <f t="shared" si="14"/>
        <v>29</v>
      </c>
    </row>
    <row r="162" spans="1:14" x14ac:dyDescent="0.25">
      <c r="A162" t="s">
        <v>22</v>
      </c>
      <c r="B162" t="s">
        <v>39</v>
      </c>
      <c r="C162" t="s">
        <v>40</v>
      </c>
      <c r="D162">
        <v>17.989999999999998</v>
      </c>
      <c r="E162">
        <v>15.611230960142001</v>
      </c>
      <c r="F162" t="s">
        <v>17</v>
      </c>
      <c r="G162">
        <f t="shared" si="10"/>
        <v>18</v>
      </c>
      <c r="H162">
        <f t="shared" si="11"/>
        <v>4.2426406871192848</v>
      </c>
      <c r="L162" t="str">
        <f t="shared" si="12"/>
        <v>Car</v>
      </c>
      <c r="M162" t="str">
        <f t="shared" si="13"/>
        <v>es</v>
      </c>
      <c r="N162">
        <f t="shared" si="14"/>
        <v>29</v>
      </c>
    </row>
    <row r="163" spans="1:14" x14ac:dyDescent="0.25">
      <c r="A163" t="s">
        <v>24</v>
      </c>
      <c r="B163" t="s">
        <v>39</v>
      </c>
      <c r="C163" t="s">
        <v>40</v>
      </c>
      <c r="D163">
        <v>9.34</v>
      </c>
      <c r="E163">
        <v>8.1405327106255996</v>
      </c>
      <c r="F163" t="s">
        <v>17</v>
      </c>
      <c r="G163">
        <f t="shared" si="10"/>
        <v>9.3000000000000007</v>
      </c>
      <c r="H163">
        <f t="shared" si="11"/>
        <v>3.0495901363953815</v>
      </c>
      <c r="L163" t="str">
        <f t="shared" si="12"/>
        <v>Car</v>
      </c>
      <c r="M163" t="str">
        <f t="shared" si="13"/>
        <v>es</v>
      </c>
      <c r="N163">
        <f t="shared" si="14"/>
        <v>29</v>
      </c>
    </row>
    <row r="164" spans="1:14" x14ac:dyDescent="0.25">
      <c r="A164" t="s">
        <v>14</v>
      </c>
      <c r="B164" t="s">
        <v>39</v>
      </c>
      <c r="C164" t="s">
        <v>40</v>
      </c>
      <c r="D164">
        <v>15.99</v>
      </c>
      <c r="E164">
        <v>13.6647310320259</v>
      </c>
      <c r="F164" t="s">
        <v>17</v>
      </c>
      <c r="G164">
        <f t="shared" si="10"/>
        <v>16</v>
      </c>
      <c r="H164">
        <f t="shared" si="11"/>
        <v>4</v>
      </c>
      <c r="L164" t="str">
        <f t="shared" si="12"/>
        <v>Car</v>
      </c>
      <c r="M164" t="str">
        <f t="shared" si="13"/>
        <v>es</v>
      </c>
      <c r="N164">
        <f t="shared" si="14"/>
        <v>29</v>
      </c>
    </row>
    <row r="165" spans="1:14" x14ac:dyDescent="0.25">
      <c r="A165" t="s">
        <v>22</v>
      </c>
      <c r="B165" t="s">
        <v>39</v>
      </c>
      <c r="C165" t="s">
        <v>40</v>
      </c>
      <c r="D165">
        <v>7.99</v>
      </c>
      <c r="E165">
        <v>7.12355189321603</v>
      </c>
      <c r="F165" t="s">
        <v>21</v>
      </c>
      <c r="G165">
        <f t="shared" si="10"/>
        <v>8</v>
      </c>
      <c r="H165">
        <f t="shared" si="11"/>
        <v>2.8284271247461903</v>
      </c>
      <c r="L165" t="str">
        <f t="shared" si="12"/>
        <v>Car</v>
      </c>
      <c r="M165" t="str">
        <f t="shared" si="13"/>
        <v>es</v>
      </c>
      <c r="N165">
        <f t="shared" si="14"/>
        <v>29</v>
      </c>
    </row>
    <row r="166" spans="1:14" x14ac:dyDescent="0.25">
      <c r="A166" t="s">
        <v>24</v>
      </c>
      <c r="B166" t="s">
        <v>39</v>
      </c>
      <c r="C166" t="s">
        <v>40</v>
      </c>
      <c r="D166">
        <v>29.95</v>
      </c>
      <c r="E166">
        <v>26.840950035798201</v>
      </c>
      <c r="F166" t="s">
        <v>17</v>
      </c>
      <c r="G166">
        <f t="shared" si="10"/>
        <v>30</v>
      </c>
      <c r="H166">
        <f t="shared" si="11"/>
        <v>5.4772255750516612</v>
      </c>
      <c r="L166" t="str">
        <f t="shared" si="12"/>
        <v>Car</v>
      </c>
      <c r="M166" t="str">
        <f t="shared" si="13"/>
        <v>es</v>
      </c>
      <c r="N166">
        <f t="shared" si="14"/>
        <v>29</v>
      </c>
    </row>
    <row r="167" spans="1:14" x14ac:dyDescent="0.25">
      <c r="A167" t="s">
        <v>14</v>
      </c>
      <c r="B167" t="s">
        <v>39</v>
      </c>
      <c r="C167" t="s">
        <v>40</v>
      </c>
      <c r="D167">
        <v>16.989999999999998</v>
      </c>
      <c r="E167">
        <v>15.521865839811801</v>
      </c>
      <c r="F167" t="s">
        <v>17</v>
      </c>
      <c r="G167">
        <f t="shared" si="10"/>
        <v>17</v>
      </c>
      <c r="H167">
        <f t="shared" si="11"/>
        <v>4.1231056256176606</v>
      </c>
      <c r="L167" t="str">
        <f t="shared" si="12"/>
        <v>Car</v>
      </c>
      <c r="M167" t="str">
        <f t="shared" si="13"/>
        <v>es</v>
      </c>
      <c r="N167">
        <f t="shared" si="14"/>
        <v>29</v>
      </c>
    </row>
    <row r="168" spans="1:14" x14ac:dyDescent="0.25">
      <c r="A168" t="s">
        <v>14</v>
      </c>
      <c r="B168" t="s">
        <v>39</v>
      </c>
      <c r="C168" t="s">
        <v>40</v>
      </c>
      <c r="D168">
        <v>16.989999999999998</v>
      </c>
      <c r="E168">
        <v>15.5848950292384</v>
      </c>
      <c r="F168" t="s">
        <v>21</v>
      </c>
      <c r="G168">
        <f t="shared" si="10"/>
        <v>17</v>
      </c>
      <c r="H168">
        <f t="shared" si="11"/>
        <v>4.1231056256176606</v>
      </c>
      <c r="L168" t="str">
        <f t="shared" si="12"/>
        <v>Car</v>
      </c>
      <c r="M168" t="str">
        <f t="shared" si="13"/>
        <v>es</v>
      </c>
      <c r="N168">
        <f t="shared" si="14"/>
        <v>29</v>
      </c>
    </row>
    <row r="169" spans="1:14" x14ac:dyDescent="0.25">
      <c r="A169" t="s">
        <v>14</v>
      </c>
      <c r="B169" t="s">
        <v>39</v>
      </c>
      <c r="C169" t="s">
        <v>40</v>
      </c>
      <c r="D169">
        <v>13.99</v>
      </c>
      <c r="E169">
        <v>12.623683379802401</v>
      </c>
      <c r="F169" t="s">
        <v>17</v>
      </c>
      <c r="G169">
        <f t="shared" si="10"/>
        <v>14</v>
      </c>
      <c r="H169">
        <f t="shared" si="11"/>
        <v>3.7416573867739413</v>
      </c>
      <c r="L169" t="str">
        <f t="shared" si="12"/>
        <v>Car</v>
      </c>
      <c r="M169" t="str">
        <f t="shared" si="13"/>
        <v>es</v>
      </c>
      <c r="N169">
        <f t="shared" si="14"/>
        <v>29</v>
      </c>
    </row>
    <row r="170" spans="1:14" x14ac:dyDescent="0.25">
      <c r="A170" t="s">
        <v>33</v>
      </c>
      <c r="B170" t="s">
        <v>39</v>
      </c>
      <c r="C170" t="s">
        <v>40</v>
      </c>
      <c r="D170">
        <v>12.29</v>
      </c>
      <c r="E170">
        <v>10.7857808621084</v>
      </c>
      <c r="F170" t="s">
        <v>17</v>
      </c>
      <c r="G170">
        <f t="shared" si="10"/>
        <v>12.3</v>
      </c>
      <c r="H170">
        <f t="shared" si="11"/>
        <v>3.5071355833500366</v>
      </c>
      <c r="L170" t="str">
        <f t="shared" si="12"/>
        <v>Car</v>
      </c>
      <c r="M170" t="str">
        <f t="shared" si="13"/>
        <v>es</v>
      </c>
      <c r="N170">
        <f t="shared" si="14"/>
        <v>29</v>
      </c>
    </row>
    <row r="171" spans="1:14" x14ac:dyDescent="0.25">
      <c r="A171" t="s">
        <v>22</v>
      </c>
      <c r="B171" t="s">
        <v>39</v>
      </c>
      <c r="C171" t="s">
        <v>41</v>
      </c>
      <c r="D171">
        <v>18</v>
      </c>
      <c r="E171">
        <v>16.716416182639801</v>
      </c>
      <c r="F171" t="s">
        <v>17</v>
      </c>
      <c r="G171">
        <f t="shared" si="10"/>
        <v>18</v>
      </c>
      <c r="H171">
        <f t="shared" si="11"/>
        <v>4.2426406871192848</v>
      </c>
      <c r="L171" t="str">
        <f t="shared" si="12"/>
        <v>Ext</v>
      </c>
      <c r="M171" t="str">
        <f t="shared" si="13"/>
        <v>es</v>
      </c>
      <c r="N171">
        <f t="shared" si="14"/>
        <v>20</v>
      </c>
    </row>
    <row r="172" spans="1:14" x14ac:dyDescent="0.25">
      <c r="A172" t="s">
        <v>14</v>
      </c>
      <c r="B172" t="s">
        <v>39</v>
      </c>
      <c r="C172" t="s">
        <v>41</v>
      </c>
      <c r="D172">
        <v>7.99</v>
      </c>
      <c r="E172">
        <v>7.3651518448710798</v>
      </c>
      <c r="F172" t="s">
        <v>21</v>
      </c>
      <c r="G172">
        <f t="shared" si="10"/>
        <v>8</v>
      </c>
      <c r="H172">
        <f t="shared" si="11"/>
        <v>2.8284271247461903</v>
      </c>
      <c r="L172" t="str">
        <f t="shared" si="12"/>
        <v>Ext</v>
      </c>
      <c r="M172" t="str">
        <f t="shared" si="13"/>
        <v>es</v>
      </c>
      <c r="N172">
        <f t="shared" si="14"/>
        <v>20</v>
      </c>
    </row>
    <row r="173" spans="1:14" x14ac:dyDescent="0.25">
      <c r="A173" t="s">
        <v>23</v>
      </c>
      <c r="B173" t="s">
        <v>39</v>
      </c>
      <c r="C173" t="s">
        <v>41</v>
      </c>
      <c r="D173">
        <v>32.880000000000003</v>
      </c>
      <c r="E173">
        <v>30.6404433914987</v>
      </c>
      <c r="F173" t="s">
        <v>21</v>
      </c>
      <c r="G173">
        <f t="shared" si="10"/>
        <v>32.9</v>
      </c>
      <c r="H173">
        <f t="shared" si="11"/>
        <v>5.735852159879995</v>
      </c>
      <c r="L173" t="str">
        <f t="shared" si="12"/>
        <v>Ext</v>
      </c>
      <c r="M173" t="str">
        <f t="shared" si="13"/>
        <v>es</v>
      </c>
      <c r="N173">
        <f t="shared" si="14"/>
        <v>20</v>
      </c>
    </row>
    <row r="174" spans="1:14" x14ac:dyDescent="0.25">
      <c r="A174" t="s">
        <v>22</v>
      </c>
      <c r="B174" t="s">
        <v>39</v>
      </c>
      <c r="C174" t="s">
        <v>41</v>
      </c>
      <c r="D174">
        <v>8.99</v>
      </c>
      <c r="E174">
        <v>8.1025256047011496</v>
      </c>
      <c r="F174" t="s">
        <v>17</v>
      </c>
      <c r="G174">
        <f t="shared" si="10"/>
        <v>9</v>
      </c>
      <c r="H174">
        <f t="shared" si="11"/>
        <v>3</v>
      </c>
      <c r="L174" t="str">
        <f t="shared" si="12"/>
        <v>Ext</v>
      </c>
      <c r="M174" t="str">
        <f t="shared" si="13"/>
        <v>es</v>
      </c>
      <c r="N174">
        <f t="shared" si="14"/>
        <v>20</v>
      </c>
    </row>
    <row r="175" spans="1:14" x14ac:dyDescent="0.25">
      <c r="A175" t="s">
        <v>14</v>
      </c>
      <c r="B175" t="s">
        <v>39</v>
      </c>
      <c r="C175" t="s">
        <v>41</v>
      </c>
      <c r="D175">
        <v>14.99</v>
      </c>
      <c r="E175">
        <v>12.807069387207299</v>
      </c>
      <c r="F175" t="s">
        <v>21</v>
      </c>
      <c r="G175">
        <f t="shared" si="10"/>
        <v>15</v>
      </c>
      <c r="H175">
        <f t="shared" si="11"/>
        <v>3.872983346207417</v>
      </c>
      <c r="L175" t="str">
        <f t="shared" si="12"/>
        <v>Ext</v>
      </c>
      <c r="M175" t="str">
        <f t="shared" si="13"/>
        <v>es</v>
      </c>
      <c r="N175">
        <f t="shared" si="14"/>
        <v>20</v>
      </c>
    </row>
    <row r="176" spans="1:14" x14ac:dyDescent="0.25">
      <c r="A176" t="s">
        <v>22</v>
      </c>
      <c r="B176" t="s">
        <v>39</v>
      </c>
      <c r="C176" t="s">
        <v>41</v>
      </c>
      <c r="D176">
        <v>13.99</v>
      </c>
      <c r="E176">
        <v>12.6628580522567</v>
      </c>
      <c r="F176" t="s">
        <v>17</v>
      </c>
      <c r="G176">
        <f t="shared" si="10"/>
        <v>14</v>
      </c>
      <c r="H176">
        <f t="shared" si="11"/>
        <v>3.7416573867739413</v>
      </c>
      <c r="L176" t="str">
        <f t="shared" si="12"/>
        <v>Ext</v>
      </c>
      <c r="M176" t="str">
        <f t="shared" si="13"/>
        <v>es</v>
      </c>
      <c r="N176">
        <f t="shared" si="14"/>
        <v>20</v>
      </c>
    </row>
    <row r="177" spans="1:14" x14ac:dyDescent="0.25">
      <c r="A177" t="s">
        <v>24</v>
      </c>
      <c r="B177" t="s">
        <v>39</v>
      </c>
      <c r="C177" t="s">
        <v>41</v>
      </c>
      <c r="D177">
        <v>27.9</v>
      </c>
      <c r="E177">
        <v>23.944196796726199</v>
      </c>
      <c r="F177" t="s">
        <v>17</v>
      </c>
      <c r="G177">
        <f t="shared" si="10"/>
        <v>27.9</v>
      </c>
      <c r="H177">
        <f t="shared" si="11"/>
        <v>5.2820450584977028</v>
      </c>
      <c r="L177" t="str">
        <f t="shared" si="12"/>
        <v>Ext</v>
      </c>
      <c r="M177" t="str">
        <f t="shared" si="13"/>
        <v>es</v>
      </c>
      <c r="N177">
        <f t="shared" si="14"/>
        <v>20</v>
      </c>
    </row>
    <row r="178" spans="1:14" x14ac:dyDescent="0.25">
      <c r="A178" t="s">
        <v>14</v>
      </c>
      <c r="B178" t="s">
        <v>39</v>
      </c>
      <c r="C178" t="s">
        <v>41</v>
      </c>
      <c r="D178">
        <v>9.9499999999999993</v>
      </c>
      <c r="E178">
        <v>8.6368845173385296</v>
      </c>
      <c r="F178" t="s">
        <v>17</v>
      </c>
      <c r="G178">
        <f t="shared" si="10"/>
        <v>10</v>
      </c>
      <c r="H178">
        <f t="shared" si="11"/>
        <v>3.1622776601683795</v>
      </c>
      <c r="L178" t="str">
        <f t="shared" si="12"/>
        <v>Ext</v>
      </c>
      <c r="M178" t="str">
        <f t="shared" si="13"/>
        <v>es</v>
      </c>
      <c r="N178">
        <f t="shared" si="14"/>
        <v>20</v>
      </c>
    </row>
    <row r="179" spans="1:14" x14ac:dyDescent="0.25">
      <c r="A179" t="s">
        <v>22</v>
      </c>
      <c r="B179" t="s">
        <v>39</v>
      </c>
      <c r="C179" t="s">
        <v>41</v>
      </c>
      <c r="D179">
        <v>6.99</v>
      </c>
      <c r="E179">
        <v>6.5886459313127999</v>
      </c>
      <c r="F179" t="s">
        <v>21</v>
      </c>
      <c r="G179">
        <f t="shared" si="10"/>
        <v>7</v>
      </c>
      <c r="H179">
        <f t="shared" si="11"/>
        <v>2.6457513110645907</v>
      </c>
      <c r="L179" t="str">
        <f t="shared" si="12"/>
        <v>Ext</v>
      </c>
      <c r="M179" t="str">
        <f t="shared" si="13"/>
        <v>es</v>
      </c>
      <c r="N179">
        <f t="shared" si="14"/>
        <v>20</v>
      </c>
    </row>
    <row r="180" spans="1:14" x14ac:dyDescent="0.25">
      <c r="A180" t="s">
        <v>14</v>
      </c>
      <c r="B180" t="s">
        <v>39</v>
      </c>
      <c r="C180" t="s">
        <v>41</v>
      </c>
      <c r="D180">
        <v>11.75</v>
      </c>
      <c r="E180">
        <v>11.091820912742699</v>
      </c>
      <c r="F180" t="s">
        <v>21</v>
      </c>
      <c r="G180">
        <f t="shared" si="10"/>
        <v>11.8</v>
      </c>
      <c r="H180">
        <f t="shared" si="11"/>
        <v>3.4351128074635335</v>
      </c>
      <c r="L180" t="str">
        <f t="shared" si="12"/>
        <v>Ext</v>
      </c>
      <c r="M180" t="str">
        <f t="shared" si="13"/>
        <v>es</v>
      </c>
      <c r="N180">
        <f t="shared" si="14"/>
        <v>20</v>
      </c>
    </row>
    <row r="181" spans="1:14" x14ac:dyDescent="0.25">
      <c r="A181" t="s">
        <v>24</v>
      </c>
      <c r="B181" t="s">
        <v>39</v>
      </c>
      <c r="C181" t="s">
        <v>41</v>
      </c>
      <c r="D181">
        <v>5.48</v>
      </c>
      <c r="E181">
        <v>4.7723126551431596</v>
      </c>
      <c r="F181" t="s">
        <v>21</v>
      </c>
      <c r="G181">
        <f t="shared" si="10"/>
        <v>5.5</v>
      </c>
      <c r="H181">
        <f t="shared" si="11"/>
        <v>2.3452078799117149</v>
      </c>
      <c r="L181" t="str">
        <f t="shared" si="12"/>
        <v>Ext</v>
      </c>
      <c r="M181" t="str">
        <f t="shared" si="13"/>
        <v>es</v>
      </c>
      <c r="N181">
        <f t="shared" si="14"/>
        <v>20</v>
      </c>
    </row>
    <row r="182" spans="1:14" x14ac:dyDescent="0.25">
      <c r="A182" t="s">
        <v>22</v>
      </c>
      <c r="B182" t="s">
        <v>39</v>
      </c>
      <c r="C182" t="s">
        <v>41</v>
      </c>
      <c r="D182">
        <v>6.99</v>
      </c>
      <c r="E182">
        <v>6.4992413642643099</v>
      </c>
      <c r="F182" t="s">
        <v>21</v>
      </c>
      <c r="G182">
        <f t="shared" si="10"/>
        <v>7</v>
      </c>
      <c r="H182">
        <f t="shared" si="11"/>
        <v>2.6457513110645907</v>
      </c>
      <c r="L182" t="str">
        <f t="shared" si="12"/>
        <v>Ext</v>
      </c>
      <c r="M182" t="str">
        <f t="shared" si="13"/>
        <v>es</v>
      </c>
      <c r="N182">
        <f t="shared" si="14"/>
        <v>20</v>
      </c>
    </row>
    <row r="183" spans="1:14" x14ac:dyDescent="0.25">
      <c r="A183" t="s">
        <v>22</v>
      </c>
      <c r="B183" t="s">
        <v>39</v>
      </c>
      <c r="C183" t="s">
        <v>41</v>
      </c>
      <c r="D183">
        <v>6.99</v>
      </c>
      <c r="E183">
        <v>6.5659223851706496</v>
      </c>
      <c r="F183" t="s">
        <v>17</v>
      </c>
      <c r="G183">
        <f t="shared" si="10"/>
        <v>7</v>
      </c>
      <c r="H183">
        <f t="shared" si="11"/>
        <v>2.6457513110645907</v>
      </c>
      <c r="L183" t="str">
        <f t="shared" si="12"/>
        <v>Ext</v>
      </c>
      <c r="M183" t="str">
        <f t="shared" si="13"/>
        <v>es</v>
      </c>
      <c r="N183">
        <f t="shared" si="14"/>
        <v>20</v>
      </c>
    </row>
    <row r="184" spans="1:14" x14ac:dyDescent="0.25">
      <c r="A184" t="s">
        <v>14</v>
      </c>
      <c r="B184" t="s">
        <v>39</v>
      </c>
      <c r="C184" t="s">
        <v>41</v>
      </c>
      <c r="D184">
        <v>27.54</v>
      </c>
      <c r="E184">
        <v>24.5548282328532</v>
      </c>
      <c r="F184" t="s">
        <v>17</v>
      </c>
      <c r="G184">
        <f t="shared" si="10"/>
        <v>27.5</v>
      </c>
      <c r="H184">
        <f t="shared" si="11"/>
        <v>5.2440442408507577</v>
      </c>
      <c r="L184" t="str">
        <f t="shared" si="12"/>
        <v>Ext</v>
      </c>
      <c r="M184" t="str">
        <f t="shared" si="13"/>
        <v>es</v>
      </c>
      <c r="N184">
        <f t="shared" si="14"/>
        <v>20</v>
      </c>
    </row>
    <row r="185" spans="1:14" x14ac:dyDescent="0.25">
      <c r="A185" t="s">
        <v>22</v>
      </c>
      <c r="B185" t="s">
        <v>39</v>
      </c>
      <c r="C185" t="s">
        <v>41</v>
      </c>
      <c r="D185">
        <v>22.95</v>
      </c>
      <c r="E185">
        <v>20.408747648673899</v>
      </c>
      <c r="F185" t="s">
        <v>21</v>
      </c>
      <c r="G185">
        <f t="shared" si="10"/>
        <v>23</v>
      </c>
      <c r="H185">
        <f t="shared" si="11"/>
        <v>4.7958315233127191</v>
      </c>
      <c r="L185" t="str">
        <f t="shared" si="12"/>
        <v>Ext</v>
      </c>
      <c r="M185" t="str">
        <f t="shared" si="13"/>
        <v>es</v>
      </c>
      <c r="N185">
        <f t="shared" si="14"/>
        <v>20</v>
      </c>
    </row>
    <row r="186" spans="1:14" x14ac:dyDescent="0.25">
      <c r="A186" t="s">
        <v>22</v>
      </c>
      <c r="B186" t="s">
        <v>39</v>
      </c>
      <c r="C186" t="s">
        <v>41</v>
      </c>
      <c r="D186">
        <v>25.99</v>
      </c>
      <c r="E186">
        <v>23.935025658098901</v>
      </c>
      <c r="F186" t="s">
        <v>17</v>
      </c>
      <c r="G186">
        <f t="shared" si="10"/>
        <v>26</v>
      </c>
      <c r="H186">
        <f t="shared" si="11"/>
        <v>5.0990195135927845</v>
      </c>
      <c r="L186" t="str">
        <f t="shared" si="12"/>
        <v>Ext</v>
      </c>
      <c r="M186" t="str">
        <f t="shared" si="13"/>
        <v>es</v>
      </c>
      <c r="N186">
        <f t="shared" si="14"/>
        <v>20</v>
      </c>
    </row>
    <row r="187" spans="1:14" x14ac:dyDescent="0.25">
      <c r="A187" t="s">
        <v>14</v>
      </c>
      <c r="B187" t="s">
        <v>39</v>
      </c>
      <c r="C187" t="s">
        <v>41</v>
      </c>
      <c r="D187">
        <v>11.6</v>
      </c>
      <c r="E187">
        <v>10.8086925454176</v>
      </c>
      <c r="F187" t="s">
        <v>17</v>
      </c>
      <c r="G187">
        <f t="shared" si="10"/>
        <v>11.6</v>
      </c>
      <c r="H187">
        <f t="shared" si="11"/>
        <v>3.40587727318528</v>
      </c>
      <c r="L187" t="str">
        <f t="shared" si="12"/>
        <v>Ext</v>
      </c>
      <c r="M187" t="str">
        <f t="shared" si="13"/>
        <v>es</v>
      </c>
      <c r="N187">
        <f t="shared" si="14"/>
        <v>20</v>
      </c>
    </row>
    <row r="188" spans="1:14" x14ac:dyDescent="0.25">
      <c r="A188" t="s">
        <v>14</v>
      </c>
      <c r="B188" t="s">
        <v>39</v>
      </c>
      <c r="C188" t="s">
        <v>41</v>
      </c>
      <c r="D188">
        <v>23.43</v>
      </c>
      <c r="E188">
        <v>22.0300628910773</v>
      </c>
      <c r="F188" t="s">
        <v>17</v>
      </c>
      <c r="G188">
        <f t="shared" si="10"/>
        <v>23.4</v>
      </c>
      <c r="H188">
        <f t="shared" si="11"/>
        <v>4.8373546489791295</v>
      </c>
      <c r="L188" t="str">
        <f t="shared" si="12"/>
        <v>Ext</v>
      </c>
      <c r="M188" t="str">
        <f t="shared" si="13"/>
        <v>es</v>
      </c>
      <c r="N188">
        <f t="shared" si="14"/>
        <v>20</v>
      </c>
    </row>
    <row r="189" spans="1:14" x14ac:dyDescent="0.25">
      <c r="A189" t="s">
        <v>14</v>
      </c>
      <c r="B189" t="s">
        <v>39</v>
      </c>
      <c r="C189" t="s">
        <v>41</v>
      </c>
      <c r="D189">
        <v>11.99</v>
      </c>
      <c r="E189">
        <v>10.7449516637113</v>
      </c>
      <c r="F189" t="s">
        <v>17</v>
      </c>
      <c r="G189">
        <f t="shared" si="10"/>
        <v>12</v>
      </c>
      <c r="H189">
        <f t="shared" si="11"/>
        <v>3.4641016151377544</v>
      </c>
      <c r="L189" t="str">
        <f t="shared" si="12"/>
        <v>Ext</v>
      </c>
      <c r="M189" t="str">
        <f t="shared" si="13"/>
        <v>es</v>
      </c>
      <c r="N189">
        <f t="shared" si="14"/>
        <v>20</v>
      </c>
    </row>
    <row r="190" spans="1:14" x14ac:dyDescent="0.25">
      <c r="A190" t="s">
        <v>14</v>
      </c>
      <c r="B190" t="s">
        <v>39</v>
      </c>
      <c r="C190" t="s">
        <v>42</v>
      </c>
      <c r="D190">
        <v>13.59</v>
      </c>
      <c r="E190">
        <v>12.0069047219165</v>
      </c>
      <c r="F190" t="s">
        <v>21</v>
      </c>
      <c r="G190">
        <f t="shared" si="10"/>
        <v>13.6</v>
      </c>
      <c r="H190">
        <f t="shared" si="11"/>
        <v>3.687817782917155</v>
      </c>
      <c r="L190" t="str">
        <f t="shared" si="12"/>
        <v>Int</v>
      </c>
      <c r="M190" t="str">
        <f t="shared" si="13"/>
        <v>es</v>
      </c>
      <c r="N190">
        <f t="shared" si="14"/>
        <v>20</v>
      </c>
    </row>
    <row r="191" spans="1:14" x14ac:dyDescent="0.25">
      <c r="A191" t="s">
        <v>24</v>
      </c>
      <c r="B191" t="s">
        <v>39</v>
      </c>
      <c r="C191" t="s">
        <v>42</v>
      </c>
      <c r="D191">
        <v>7.99</v>
      </c>
      <c r="E191">
        <v>6.8520218090876597</v>
      </c>
      <c r="F191" t="s">
        <v>17</v>
      </c>
      <c r="G191">
        <f t="shared" si="10"/>
        <v>8</v>
      </c>
      <c r="H191">
        <f t="shared" si="11"/>
        <v>2.8284271247461903</v>
      </c>
      <c r="L191" t="str">
        <f t="shared" si="12"/>
        <v>Int</v>
      </c>
      <c r="M191" t="str">
        <f t="shared" si="13"/>
        <v>es</v>
      </c>
      <c r="N191">
        <f t="shared" si="14"/>
        <v>20</v>
      </c>
    </row>
    <row r="192" spans="1:14" x14ac:dyDescent="0.25">
      <c r="A192" t="s">
        <v>14</v>
      </c>
      <c r="B192" t="s">
        <v>39</v>
      </c>
      <c r="C192" t="s">
        <v>42</v>
      </c>
      <c r="D192">
        <v>9.99</v>
      </c>
      <c r="E192">
        <v>8.79574102439922</v>
      </c>
      <c r="F192" t="s">
        <v>17</v>
      </c>
      <c r="G192">
        <f t="shared" si="10"/>
        <v>10</v>
      </c>
      <c r="H192">
        <f t="shared" si="11"/>
        <v>3.1622776601683795</v>
      </c>
      <c r="L192" t="str">
        <f t="shared" si="12"/>
        <v>Int</v>
      </c>
      <c r="M192" t="str">
        <f t="shared" si="13"/>
        <v>es</v>
      </c>
      <c r="N192">
        <f t="shared" si="14"/>
        <v>20</v>
      </c>
    </row>
    <row r="193" spans="1:14" x14ac:dyDescent="0.25">
      <c r="A193" t="s">
        <v>24</v>
      </c>
      <c r="B193" t="s">
        <v>39</v>
      </c>
      <c r="C193" t="s">
        <v>42</v>
      </c>
      <c r="D193">
        <v>24.99</v>
      </c>
      <c r="E193">
        <v>21.9647967380672</v>
      </c>
      <c r="F193" t="s">
        <v>17</v>
      </c>
      <c r="G193">
        <f t="shared" si="10"/>
        <v>25</v>
      </c>
      <c r="H193">
        <f t="shared" si="11"/>
        <v>5</v>
      </c>
      <c r="L193" t="str">
        <f t="shared" si="12"/>
        <v>Int</v>
      </c>
      <c r="M193" t="str">
        <f t="shared" si="13"/>
        <v>es</v>
      </c>
      <c r="N193">
        <f t="shared" si="14"/>
        <v>20</v>
      </c>
    </row>
    <row r="194" spans="1:14" x14ac:dyDescent="0.25">
      <c r="A194" t="s">
        <v>14</v>
      </c>
      <c r="B194" t="s">
        <v>39</v>
      </c>
      <c r="C194" t="s">
        <v>42</v>
      </c>
      <c r="D194">
        <v>25.99</v>
      </c>
      <c r="E194">
        <v>23.679956702857599</v>
      </c>
      <c r="F194" t="s">
        <v>21</v>
      </c>
      <c r="G194">
        <f t="shared" si="10"/>
        <v>26</v>
      </c>
      <c r="H194">
        <f t="shared" si="11"/>
        <v>5.0990195135927845</v>
      </c>
      <c r="L194" t="str">
        <f t="shared" si="12"/>
        <v>Int</v>
      </c>
      <c r="M194" t="str">
        <f t="shared" si="13"/>
        <v>es</v>
      </c>
      <c r="N194">
        <f t="shared" si="14"/>
        <v>20</v>
      </c>
    </row>
    <row r="195" spans="1:14" x14ac:dyDescent="0.25">
      <c r="A195" t="s">
        <v>33</v>
      </c>
      <c r="B195" t="s">
        <v>39</v>
      </c>
      <c r="C195" t="s">
        <v>42</v>
      </c>
      <c r="D195">
        <v>39.99</v>
      </c>
      <c r="E195">
        <v>37.469162529510101</v>
      </c>
      <c r="F195" t="s">
        <v>17</v>
      </c>
      <c r="G195">
        <f t="shared" ref="G195:G200" si="15">ROUND(D195,1)</f>
        <v>40</v>
      </c>
      <c r="H195">
        <f t="shared" ref="H195:H200" si="16">SQRT(G195)</f>
        <v>6.324555320336759</v>
      </c>
      <c r="L195" t="str">
        <f t="shared" ref="L195:L200" si="17">LEFT(C195,3)</f>
        <v>Int</v>
      </c>
      <c r="M195" t="str">
        <f t="shared" ref="M195:M200" si="18">RIGHT(C195,2)</f>
        <v>es</v>
      </c>
      <c r="N195">
        <f t="shared" ref="N195:N200" si="19">LEN(C195)</f>
        <v>20</v>
      </c>
    </row>
    <row r="196" spans="1:14" x14ac:dyDescent="0.25">
      <c r="A196" t="s">
        <v>24</v>
      </c>
      <c r="B196" t="s">
        <v>39</v>
      </c>
      <c r="C196" t="s">
        <v>42</v>
      </c>
      <c r="D196">
        <v>12.97</v>
      </c>
      <c r="E196">
        <v>11.912166452731899</v>
      </c>
      <c r="F196" t="s">
        <v>17</v>
      </c>
      <c r="G196">
        <f t="shared" si="15"/>
        <v>13</v>
      </c>
      <c r="H196">
        <f t="shared" si="16"/>
        <v>3.6055512754639891</v>
      </c>
      <c r="L196" t="str">
        <f t="shared" si="17"/>
        <v>Int</v>
      </c>
      <c r="M196" t="str">
        <f t="shared" si="18"/>
        <v>es</v>
      </c>
      <c r="N196">
        <f t="shared" si="19"/>
        <v>20</v>
      </c>
    </row>
    <row r="197" spans="1:14" x14ac:dyDescent="0.25">
      <c r="A197" t="s">
        <v>22</v>
      </c>
      <c r="B197" t="s">
        <v>39</v>
      </c>
      <c r="C197" t="s">
        <v>42</v>
      </c>
      <c r="D197">
        <v>29.99</v>
      </c>
      <c r="E197">
        <v>26.5733049721645</v>
      </c>
      <c r="F197" t="s">
        <v>17</v>
      </c>
      <c r="G197">
        <f t="shared" si="15"/>
        <v>30</v>
      </c>
      <c r="H197">
        <f t="shared" si="16"/>
        <v>5.4772255750516612</v>
      </c>
      <c r="L197" t="str">
        <f t="shared" si="17"/>
        <v>Int</v>
      </c>
      <c r="M197" t="str">
        <f t="shared" si="18"/>
        <v>es</v>
      </c>
      <c r="N197">
        <f t="shared" si="19"/>
        <v>20</v>
      </c>
    </row>
    <row r="198" spans="1:14" x14ac:dyDescent="0.25">
      <c r="A198" t="s">
        <v>14</v>
      </c>
      <c r="B198" t="s">
        <v>39</v>
      </c>
      <c r="C198" t="s">
        <v>42</v>
      </c>
      <c r="D198">
        <v>16.989999999999998</v>
      </c>
      <c r="E198">
        <v>14.861622139062099</v>
      </c>
      <c r="F198" t="s">
        <v>21</v>
      </c>
      <c r="G198">
        <f t="shared" si="15"/>
        <v>17</v>
      </c>
      <c r="H198">
        <f t="shared" si="16"/>
        <v>4.1231056256176606</v>
      </c>
      <c r="L198" t="str">
        <f t="shared" si="17"/>
        <v>Int</v>
      </c>
      <c r="M198" t="str">
        <f t="shared" si="18"/>
        <v>es</v>
      </c>
      <c r="N198">
        <f t="shared" si="19"/>
        <v>20</v>
      </c>
    </row>
    <row r="199" spans="1:14" x14ac:dyDescent="0.25">
      <c r="A199" t="s">
        <v>14</v>
      </c>
      <c r="B199" t="s">
        <v>39</v>
      </c>
      <c r="C199" t="s">
        <v>42</v>
      </c>
      <c r="D199">
        <v>12.87</v>
      </c>
      <c r="E199">
        <v>10.957344094088899</v>
      </c>
      <c r="F199" t="s">
        <v>21</v>
      </c>
      <c r="G199">
        <f t="shared" si="15"/>
        <v>12.9</v>
      </c>
      <c r="H199">
        <f t="shared" si="16"/>
        <v>3.591656999213594</v>
      </c>
      <c r="L199" t="str">
        <f t="shared" si="17"/>
        <v>Int</v>
      </c>
      <c r="M199" t="str">
        <f t="shared" si="18"/>
        <v>es</v>
      </c>
      <c r="N199">
        <f t="shared" si="19"/>
        <v>20</v>
      </c>
    </row>
    <row r="200" spans="1:14" x14ac:dyDescent="0.25">
      <c r="A200" t="s">
        <v>14</v>
      </c>
      <c r="B200" t="s">
        <v>39</v>
      </c>
      <c r="C200" t="s">
        <v>42</v>
      </c>
      <c r="D200">
        <v>17.989999999999998</v>
      </c>
      <c r="E200">
        <v>15.6637665204572</v>
      </c>
      <c r="F200" t="s">
        <v>17</v>
      </c>
      <c r="G200">
        <f t="shared" si="15"/>
        <v>18</v>
      </c>
      <c r="H200">
        <f t="shared" si="16"/>
        <v>4.2426406871192848</v>
      </c>
      <c r="L200" t="str">
        <f t="shared" si="17"/>
        <v>Int</v>
      </c>
      <c r="M200" t="str">
        <f t="shared" si="18"/>
        <v>es</v>
      </c>
      <c r="N200">
        <f t="shared" si="19"/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23691a3302@MITS.COM</dc:creator>
  <cp:lastModifiedBy>23691a3302@MITS.COM</cp:lastModifiedBy>
  <dcterms:created xsi:type="dcterms:W3CDTF">2026-06-01T06:13:23Z</dcterms:created>
  <dcterms:modified xsi:type="dcterms:W3CDTF">2026-06-01T06:14:10Z</dcterms:modified>
</cp:coreProperties>
</file>