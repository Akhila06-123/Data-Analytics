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f40210f75314b8/Documents/Data Analytics/"/>
    </mc:Choice>
  </mc:AlternateContent>
  <xr:revisionPtr revIDLastSave="0" documentId="8_{EF103476-F483-41E2-8B31-BA6C0CB9567C}" xr6:coauthVersionLast="47" xr6:coauthVersionMax="47" xr10:uidLastSave="{00000000-0000-0000-0000-000000000000}"/>
  <bookViews>
    <workbookView xWindow="-108" yWindow="-108" windowWidth="23256" windowHeight="12456" xr2:uid="{F39A76D7-7FFB-4A08-8821-BF36990C24EB}"/>
  </bookViews>
  <sheets>
    <sheet name="Sheet1" sheetId="1" r:id="rId1"/>
  </sheets>
  <definedNames>
    <definedName name="_xlchart.v1.0" hidden="1">Sheet1!$A$1</definedName>
    <definedName name="_xlchart.v1.1" hidden="1">Sheet1!$A$2:$A$9</definedName>
    <definedName name="_xlchart.v1.10" hidden="1">Sheet1!$C$1</definedName>
    <definedName name="_xlchart.v1.11" hidden="1">Sheet1!$C$2:$C$9</definedName>
    <definedName name="_xlchart.v1.2" hidden="1">Sheet1!$B$1</definedName>
    <definedName name="_xlchart.v1.3" hidden="1">Sheet1!$B$2:$B$9</definedName>
    <definedName name="_xlchart.v1.4" hidden="1">Sheet1!$C$1</definedName>
    <definedName name="_xlchart.v1.5" hidden="1">Sheet1!$C$2:$C$9</definedName>
    <definedName name="_xlchart.v1.6" hidden="1">Sheet1!$A$1</definedName>
    <definedName name="_xlchart.v1.7" hidden="1">Sheet1!$A$2:$A$9</definedName>
    <definedName name="_xlchart.v1.8" hidden="1">Sheet1!$B$1</definedName>
    <definedName name="_xlchart.v1.9" hidden="1">Sheet1!$B$2:$B$9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<sst xmlns="http://schemas.openxmlformats.org/spreadsheetml/2006/main" count="50" uniqueCount="48">
  <si>
    <t>Student_id</t>
  </si>
  <si>
    <t>Studyhours</t>
  </si>
  <si>
    <t>Marks</t>
  </si>
  <si>
    <t>Mean</t>
  </si>
  <si>
    <t>mode</t>
  </si>
  <si>
    <t>median</t>
  </si>
  <si>
    <t>range</t>
  </si>
  <si>
    <t>variance</t>
  </si>
  <si>
    <t>Std deviation</t>
  </si>
  <si>
    <t>correlation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</si>
  <si>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</si>
  <si>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</si>
  <si>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</si>
  <si>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</si>
  <si>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</si>
  <si>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</si>
  <si>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</si>
  <si>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</si>
  <si>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</si>
  <si>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</si>
  <si>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</si>
  <si>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</si>
  <si>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</si>
  <si>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Descriptive Statistics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</si>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</sst>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Bar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Sheet1!$A$2:$A$9</c:f>
              <c:numCache>
                <c:formatCode>General</c:formatCode>
                <c:ptCount val="8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</c:numCache>
            </c:numRef>
          </c:cat>
          <c:val>
            <c:numRef>
              <c:f>Sheet1!$B$2:$B$9</c:f>
              <c:numCache>
                <c:formatCode>General</c:formatCode>
                <c:ptCount val="8"/>
                <c:pt idx="0">
                  <c:v>90</c:v>
                </c:pt>
                <c:pt idx="1">
                  <c:v>98</c:v>
                </c:pt>
                <c:pt idx="2">
                  <c:v>91</c:v>
                </c:pt>
                <c:pt idx="3">
                  <c:v>87</c:v>
                </c:pt>
                <c:pt idx="4">
                  <c:v>80</c:v>
                </c:pt>
                <c:pt idx="5">
                  <c:v>79</c:v>
                </c:pt>
                <c:pt idx="6">
                  <c:v>83</c:v>
                </c:pt>
                <c:pt idx="7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95-4372-B155-51CB03BB3C4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Studyhours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Sheet1!$A$2:$A$9</c:f>
              <c:numCache>
                <c:formatCode>General</c:formatCode>
                <c:ptCount val="8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</c:numCache>
            </c:numRef>
          </c:cat>
          <c:val>
            <c:numRef>
              <c:f>Sheet1!$C$2:$C$9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95-4372-B155-51CB03BB3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2771136"/>
        <c:axId val="1572510176"/>
      </c:barChart>
      <c:catAx>
        <c:axId val="157277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510176"/>
        <c:crosses val="autoZero"/>
        <c:auto val="1"/>
        <c:lblAlgn val="ctr"/>
        <c:lblOffset val="100"/>
        <c:noMultiLvlLbl val="0"/>
      </c:catAx>
      <c:valAx>
        <c:axId val="157251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77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69203849518812"/>
          <c:y val="0.30076443569553807"/>
          <c:w val="0.89030796150481195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Sheet1!$A$2:$A$9</c:f>
              <c:numCache>
                <c:formatCode>General</c:formatCode>
                <c:ptCount val="8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</c:numCache>
            </c:numRef>
          </c:cat>
          <c:val>
            <c:numRef>
              <c:f>Sheet1!$B$2:$B$9</c:f>
              <c:numCache>
                <c:formatCode>General</c:formatCode>
                <c:ptCount val="8"/>
                <c:pt idx="0">
                  <c:v>90</c:v>
                </c:pt>
                <c:pt idx="1">
                  <c:v>98</c:v>
                </c:pt>
                <c:pt idx="2">
                  <c:v>91</c:v>
                </c:pt>
                <c:pt idx="3">
                  <c:v>87</c:v>
                </c:pt>
                <c:pt idx="4">
                  <c:v>80</c:v>
                </c:pt>
                <c:pt idx="5">
                  <c:v>79</c:v>
                </c:pt>
                <c:pt idx="6">
                  <c:v>83</c:v>
                </c:pt>
                <c:pt idx="7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07-4861-BA25-88CD42A02A3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Studyhours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Sheet1!$A$2:$A$9</c:f>
              <c:numCache>
                <c:formatCode>General</c:formatCode>
                <c:ptCount val="8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</c:numCache>
            </c:numRef>
          </c:cat>
          <c:val>
            <c:numRef>
              <c:f>Sheet1!$C$2:$C$9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07-4861-BA25-88CD42A02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3172704"/>
        <c:axId val="2047106352"/>
      </c:lineChart>
      <c:catAx>
        <c:axId val="180317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106352"/>
        <c:crosses val="autoZero"/>
        <c:auto val="1"/>
        <c:lblAlgn val="ctr"/>
        <c:lblOffset val="100"/>
        <c:noMultiLvlLbl val="0"/>
      </c:catAx>
      <c:valAx>
        <c:axId val="204710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17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 plot for Studyhours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Studyhours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Sheet1!$A$2:$B$9</c:f>
              <c:multiLvlStrCache>
                <c:ptCount val="8"/>
                <c:lvl>
                  <c:pt idx="0">
                    <c:v>90</c:v>
                  </c:pt>
                  <c:pt idx="1">
                    <c:v>98</c:v>
                  </c:pt>
                  <c:pt idx="2">
                    <c:v>91</c:v>
                  </c:pt>
                  <c:pt idx="3">
                    <c:v>87</c:v>
                  </c:pt>
                  <c:pt idx="4">
                    <c:v>80</c:v>
                  </c:pt>
                  <c:pt idx="5">
                    <c:v>79</c:v>
                  </c:pt>
                  <c:pt idx="6">
                    <c:v>83</c:v>
                  </c:pt>
                  <c:pt idx="7">
                    <c:v>92</c:v>
                  </c:pt>
                </c:lvl>
                <c:lvl>
                  <c:pt idx="0">
                    <c:v>301</c:v>
                  </c:pt>
                  <c:pt idx="1">
                    <c:v>302</c:v>
                  </c:pt>
                  <c:pt idx="2">
                    <c:v>303</c:v>
                  </c:pt>
                  <c:pt idx="3">
                    <c:v>304</c:v>
                  </c:pt>
                  <c:pt idx="4">
                    <c:v>305</c:v>
                  </c:pt>
                  <c:pt idx="5">
                    <c:v>306</c:v>
                  </c:pt>
                  <c:pt idx="6">
                    <c:v>307</c:v>
                  </c:pt>
                  <c:pt idx="7">
                    <c:v>308</c:v>
                  </c:pt>
                </c:lvl>
              </c:multiLvlStrCache>
            </c:multiLvlStrRef>
          </c:xVal>
          <c:yVal>
            <c:numRef>
              <c:f>Sheet1!$C$2:$C$9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64-4F11-8C28-6A294717A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536624"/>
        <c:axId val="2032562544"/>
      </c:scatterChart>
      <c:valAx>
        <c:axId val="203253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562544"/>
        <c:crosses val="autoZero"/>
        <c:crossBetween val="midCat"/>
      </c:valAx>
      <c:valAx>
        <c:axId val="203256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53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chart for 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numRef>
              <c:f>Sheet1!$A$2:$A$9</c:f>
              <c:numCache>
                <c:formatCode>General</c:formatCode>
                <c:ptCount val="8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</c:numCache>
            </c:numRef>
          </c:cat>
          <c:val>
            <c:numRef>
              <c:f>Sheet1!$B$2:$B$9</c:f>
              <c:numCache>
                <c:formatCode>General</c:formatCode>
                <c:ptCount val="8"/>
                <c:pt idx="0">
                  <c:v>90</c:v>
                </c:pt>
                <c:pt idx="1">
                  <c:v>98</c:v>
                </c:pt>
                <c:pt idx="2">
                  <c:v>91</c:v>
                </c:pt>
                <c:pt idx="3">
                  <c:v>87</c:v>
                </c:pt>
                <c:pt idx="4">
                  <c:v>80</c:v>
                </c:pt>
                <c:pt idx="5">
                  <c:v>79</c:v>
                </c:pt>
                <c:pt idx="6">
                  <c:v>83</c:v>
                </c:pt>
                <c:pt idx="7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D-4147-9DDA-700D431526D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Studyhours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numRef>
              <c:f>Sheet1!$A$2:$A$9</c:f>
              <c:numCache>
                <c:formatCode>General</c:formatCode>
                <c:ptCount val="8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</c:numCache>
            </c:numRef>
          </c:cat>
          <c:val>
            <c:numRef>
              <c:f>Sheet1!$C$2:$C$9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8D-4147-9DDA-700D43152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</cx:chartData>
  <cx:chart>
    <cx:title pos="t" align="ctr" overlay="0">
      <cx:tx>
        <cx:txData>
          <cx:v>Statistic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Statistic Chart</a:t>
          </a:r>
        </a:p>
      </cx:txPr>
    </cx:title>
    <cx:plotArea>
      <cx:plotAreaRegion>
        <cx:series layoutId="clusteredColumn" uniqueId="{AF97D6EC-2036-46FD-AF84-FB23E26E0C8C}" formatIdx="0">
          <cx:tx>
            <cx:txData>
              <cx:f>_xlchart.v1.6</cx:f>
              <cx:v>Student_id</cx:v>
            </cx:txData>
          </cx:tx>
          <cx:dataId val="0"/>
          <cx:layoutPr>
            <cx:binning intervalClosed="r"/>
          </cx:layoutPr>
        </cx:series>
        <cx:series layoutId="clusteredColumn" hidden="1" uniqueId="{6C45FF32-7C73-4016-AD08-45AB3894ED79}" formatIdx="1">
          <cx:tx>
            <cx:txData>
              <cx:f>_xlchart.v1.8</cx:f>
              <cx:v>Marks</cx:v>
            </cx:txData>
          </cx:tx>
          <cx:dataId val="1"/>
          <cx:layoutPr>
            <cx:binning intervalClosed="r"/>
          </cx:layoutPr>
        </cx:series>
        <cx:series layoutId="clusteredColumn" hidden="1" uniqueId="{440478A1-9C7D-49CF-BC87-BE93623FAA7A}" formatIdx="2">
          <cx:tx>
            <cx:txData>
              <cx:f>_xlchart.v1.10</cx:f>
              <cx:v>Studyhours</cx:v>
            </cx:txData>
          </cx:tx>
          <cx:dataId val="2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101600</xdr:colOff>
      <xdr:row>0</xdr:row>
      <xdr:rowOff>78320</xdr:rowOff>
    </xdr:from>
    <xdr:to>
      <xdr:col>6</xdr:col>
      <xdr:colOff>1038576</xdr:colOff>
      <xdr:row>12</xdr:row>
      <xdr:rowOff>174976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8A7399-D251-4888-4189-70E5681BC6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180622</xdr:colOff>
      <xdr:row>13</xdr:row>
      <xdr:rowOff>158045</xdr:rowOff>
    </xdr:from>
    <xdr:to>
      <xdr:col>6</xdr:col>
      <xdr:colOff>846666</xdr:colOff>
      <xdr:row>25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78A4BC4-1A59-DE86-E036-3A24E2C75C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42266" y="2506134"/>
              <a:ext cx="3640667" cy="2071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276577</xdr:colOff>
      <xdr:row>31</xdr:row>
      <xdr:rowOff>146756</xdr:rowOff>
    </xdr:from>
    <xdr:to>
      <xdr:col>3</xdr:col>
      <xdr:colOff>287866</xdr:colOff>
      <xdr:row>44</xdr:row>
      <xdr:rowOff>39510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88186E-B328-B3B1-B7D5-66F52EB56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121698</xdr:colOff>
      <xdr:row>0</xdr:row>
      <xdr:rowOff>124256</xdr:rowOff>
    </xdr:from>
    <xdr:to>
      <xdr:col>10</xdr:col>
      <xdr:colOff>5646</xdr:colOff>
      <xdr:row>12</xdr:row>
      <xdr:rowOff>158044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5DDB9B-C8F2-F67D-7D34-6DEC8F5CC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365546</xdr:colOff>
      <xdr:row>27</xdr:row>
      <xdr:rowOff>35160</xdr:rowOff>
    </xdr:from>
    <xdr:to>
      <xdr:col>6</xdr:col>
      <xdr:colOff>812801</xdr:colOff>
      <xdr:row>38</xdr:row>
      <xdr:rowOff>73378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8835DF-6FCA-6E00-AC7F-5509A3BAE8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52A6F9-6F66-4613-A7C0-8E24DD49C759}" name="Table1" displayName="Table1" ref="A1:C10" totalsRowCount="1">
  <autoFilter ref="A1:C9" xr:uid="{2552A6F9-6F66-4613-A7C0-8E24DD49C759}"/>
  <tableColumns count="3">
    <tableColumn id="1" xr3:uid="{F3B98C5B-8E68-4826-BB51-08CC5166E53D}" name="Student_id" totalsRowLabel="mean"/>
    <tableColumn id="2" xr3:uid="{EB3F6086-8ACC-43A4-986F-9BEE2CAEFAFD}" name="Marks" totalsRowFunction="custom">
      <totalsRowFormula>AVERAGE(B2:B9)</totalsRowFormula>
    </tableColumn>
    <tableColumn id="3" xr3:uid="{95E070E7-BC86-4A87-9236-53A9778BDB65}" name="Studyhours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22DF-D200-4E1D-AF85-3B8BBAE0388E}">
  <dimension ref="A1:J63"/>
  <sheetViews>
    <sheetView tabSelected="1" zoomScale="135" zoomScaleNormal="25" workbookViewId="0">
      <selection activeCell="J16" sqref="J16"/>
    </sheetView>
  </sheetViews>
  <sheetFormatPr defaultRowHeight="14.4" x14ac:dyDescent="0.3"/>
  <cols>
    <col min="1" max="1" width="12.109375" customWidth="1"/>
    <col min="2" max="2" width="18" customWidth="1"/>
    <col min="3" max="3" width="21.77734375" customWidth="1"/>
    <col min="4" max="4" width="14.44140625" customWidth="1"/>
    <col min="5" max="5" width="14.109375" customWidth="1"/>
    <col min="6" max="6" width="14.77734375" customWidth="1"/>
    <col min="7" max="7" width="15.5546875" customWidth="1"/>
    <col min="8" max="8" width="14.109375" customWidth="1"/>
    <col min="9" max="9" width="18.21875" customWidth="1"/>
    <col min="10" max="10" width="14.8867187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301</v>
      </c>
      <c r="B2">
        <v>90</v>
      </c>
      <c r="C2">
        <v>3</v>
      </c>
    </row>
    <row r="3" spans="1:3" x14ac:dyDescent="0.3">
      <c r="A3">
        <v>302</v>
      </c>
      <c r="B3">
        <v>98</v>
      </c>
      <c r="C3">
        <v>4</v>
      </c>
    </row>
    <row r="4" spans="1:3" x14ac:dyDescent="0.3">
      <c r="A4">
        <v>303</v>
      </c>
      <c r="B4">
        <v>91</v>
      </c>
      <c r="C4">
        <v>4</v>
      </c>
    </row>
    <row r="5" spans="1:3" x14ac:dyDescent="0.3">
      <c r="A5">
        <v>304</v>
      </c>
      <c r="B5">
        <v>87</v>
      </c>
      <c r="C5">
        <v>3</v>
      </c>
    </row>
    <row r="6" spans="1:3" x14ac:dyDescent="0.3">
      <c r="A6">
        <v>305</v>
      </c>
      <c r="B6">
        <v>80</v>
      </c>
      <c r="C6">
        <v>2</v>
      </c>
    </row>
    <row r="7" spans="1:3" x14ac:dyDescent="0.3">
      <c r="A7">
        <v>306</v>
      </c>
      <c r="B7">
        <v>79</v>
      </c>
      <c r="C7">
        <v>2</v>
      </c>
    </row>
    <row r="8" spans="1:3" x14ac:dyDescent="0.3">
      <c r="A8">
        <v>307</v>
      </c>
      <c r="B8">
        <v>83</v>
      </c>
      <c r="C8">
        <v>3</v>
      </c>
    </row>
    <row r="9" spans="1:3" x14ac:dyDescent="0.3">
      <c r="A9">
        <v>308</v>
      </c>
      <c r="B9">
        <v>92</v>
      </c>
      <c r="C9">
        <v>4</v>
      </c>
    </row>
    <row r="10" spans="1:3" x14ac:dyDescent="0.3">
      <c r="A10" t="s">
        <v>10</v>
      </c>
      <c r="B10">
        <f>AVERAGE(B2:B9)</f>
        <v>87.5</v>
      </c>
    </row>
    <row r="11" spans="1:3" x14ac:dyDescent="0.3">
      <c r="A11" t="s">
        <v>4</v>
      </c>
      <c r="B11" t="e">
        <f>_xlfn.MODE.SNGL(B2:B9)</f>
        <v>#N/A</v>
      </c>
    </row>
    <row r="12" spans="1:3" x14ac:dyDescent="0.3">
      <c r="A12" t="s">
        <v>5</v>
      </c>
      <c r="B12">
        <f>MEDIAN(B2:B9)</f>
        <v>88.5</v>
      </c>
    </row>
    <row r="13" spans="1:3" x14ac:dyDescent="0.3">
      <c r="A13" t="s">
        <v>6</v>
      </c>
      <c r="B13">
        <f>MAX(B2:B9)-MIN(B2:B9)</f>
        <v>19</v>
      </c>
    </row>
    <row r="14" spans="1:3" x14ac:dyDescent="0.3">
      <c r="A14" t="s">
        <v>7</v>
      </c>
      <c r="B14">
        <f>_xlfn.VAR.S(B2:B9)</f>
        <v>42.571428571428569</v>
      </c>
    </row>
    <row r="15" spans="1:3" x14ac:dyDescent="0.3">
      <c r="A15" t="s">
        <v>8</v>
      </c>
      <c r="B15">
        <f>_xlfn.STDEV.S(B2:B9)</f>
        <v>6.5246784266681352</v>
      </c>
    </row>
    <row r="16" spans="1:3" ht="15" thickBot="1" x14ac:dyDescent="0.35">
      <c r="A16" t="s">
        <v>9</v>
      </c>
      <c r="B16">
        <f>CORREL(B2:B9,C2:C9)</f>
        <v>0.90515645529927791</v>
      </c>
    </row>
    <row r="17" spans="2:3" x14ac:dyDescent="0.3">
      <c r="B17" s="5" t="s">
        <v>23</v>
      </c>
      <c r="C17" s="4"/>
    </row>
    <row r="18" spans="2:3" x14ac:dyDescent="0.3">
      <c r="B18" s="1"/>
      <c r="C18" s="1"/>
    </row>
    <row r="19" spans="2:3" x14ac:dyDescent="0.3">
      <c r="B19" s="1" t="s">
        <v>3</v>
      </c>
      <c r="C19" s="1">
        <v>87.5</v>
      </c>
    </row>
    <row r="20" spans="2:3" x14ac:dyDescent="0.3">
      <c r="B20" s="1" t="s">
        <v>11</v>
      </c>
      <c r="C20" s="1">
        <v>2.3068221802793061</v>
      </c>
    </row>
    <row r="21" spans="2:3" x14ac:dyDescent="0.3">
      <c r="B21" s="1" t="s">
        <v>12</v>
      </c>
      <c r="C21" s="1">
        <v>88.5</v>
      </c>
    </row>
    <row r="22" spans="2:3" x14ac:dyDescent="0.3">
      <c r="B22" s="1" t="s">
        <v>13</v>
      </c>
      <c r="C22" s="1" t="e">
        <v>#N/A</v>
      </c>
    </row>
    <row r="23" spans="2:3" x14ac:dyDescent="0.3">
      <c r="B23" s="1" t="s">
        <v>14</v>
      </c>
      <c r="C23" s="1">
        <v>6.5246784266681352</v>
      </c>
    </row>
    <row r="24" spans="2:3" x14ac:dyDescent="0.3">
      <c r="B24" s="1" t="s">
        <v>15</v>
      </c>
      <c r="C24" s="1">
        <v>42.571428571428569</v>
      </c>
    </row>
    <row r="25" spans="2:3" x14ac:dyDescent="0.3">
      <c r="B25" s="1" t="s">
        <v>16</v>
      </c>
      <c r="C25" s="1">
        <v>-0.82344038556821886</v>
      </c>
    </row>
    <row r="26" spans="2:3" x14ac:dyDescent="0.3">
      <c r="B26" s="1" t="s">
        <v>17</v>
      </c>
      <c r="C26" s="1">
        <v>0.12343430202245878</v>
      </c>
    </row>
    <row r="27" spans="2:3" x14ac:dyDescent="0.3">
      <c r="B27" s="1" t="s">
        <v>18</v>
      </c>
      <c r="C27" s="1">
        <v>19</v>
      </c>
    </row>
    <row r="28" spans="2:3" x14ac:dyDescent="0.3">
      <c r="B28" s="1" t="s">
        <v>19</v>
      </c>
      <c r="C28" s="1">
        <v>79</v>
      </c>
    </row>
    <row r="29" spans="2:3" x14ac:dyDescent="0.3">
      <c r="B29" s="1" t="s">
        <v>20</v>
      </c>
      <c r="C29" s="1">
        <v>98</v>
      </c>
    </row>
    <row r="30" spans="2:3" x14ac:dyDescent="0.3">
      <c r="B30" s="1" t="s">
        <v>21</v>
      </c>
      <c r="C30" s="1">
        <v>700</v>
      </c>
    </row>
    <row r="31" spans="2:3" ht="15" thickBot="1" x14ac:dyDescent="0.35">
      <c r="B31" s="2" t="s">
        <v>22</v>
      </c>
      <c r="C31" s="2">
        <v>8</v>
      </c>
    </row>
    <row r="46" spans="2:3" x14ac:dyDescent="0.3">
      <c r="B46" t="s">
        <v>24</v>
      </c>
    </row>
    <row r="47" spans="2:3" ht="15" thickBot="1" x14ac:dyDescent="0.35"/>
    <row r="48" spans="2:3" x14ac:dyDescent="0.3">
      <c r="B48" s="4" t="s">
        <v>25</v>
      </c>
      <c r="C48" s="4"/>
    </row>
    <row r="49" spans="2:10" x14ac:dyDescent="0.3">
      <c r="B49" s="1" t="s">
        <v>26</v>
      </c>
      <c r="C49" s="1">
        <v>0.90515645529927791</v>
      </c>
    </row>
    <row r="50" spans="2:10" x14ac:dyDescent="0.3">
      <c r="B50" s="1" t="s">
        <v>27</v>
      </c>
      <c r="C50" s="1">
        <v>0.81930820856995368</v>
      </c>
    </row>
    <row r="51" spans="2:10" x14ac:dyDescent="0.3">
      <c r="B51" s="1" t="s">
        <v>28</v>
      </c>
      <c r="C51" s="1">
        <v>0.78919290999827929</v>
      </c>
    </row>
    <row r="52" spans="2:10" x14ac:dyDescent="0.3">
      <c r="B52" s="1" t="s">
        <v>11</v>
      </c>
      <c r="C52" s="1">
        <v>2.9957234475763896</v>
      </c>
    </row>
    <row r="53" spans="2:10" ht="15" thickBot="1" x14ac:dyDescent="0.35">
      <c r="B53" s="2" t="s">
        <v>29</v>
      </c>
      <c r="C53" s="2">
        <v>8</v>
      </c>
    </row>
    <row r="55" spans="2:10" ht="15" thickBot="1" x14ac:dyDescent="0.35">
      <c r="B55" t="s">
        <v>30</v>
      </c>
    </row>
    <row r="56" spans="2:10" x14ac:dyDescent="0.3">
      <c r="B56" s="3"/>
      <c r="C56" s="3" t="s">
        <v>35</v>
      </c>
      <c r="D56" s="3" t="s">
        <v>36</v>
      </c>
      <c r="E56" s="3" t="s">
        <v>37</v>
      </c>
      <c r="F56" s="3" t="s">
        <v>38</v>
      </c>
      <c r="G56" s="3" t="s">
        <v>39</v>
      </c>
    </row>
    <row r="57" spans="2:10" x14ac:dyDescent="0.3">
      <c r="B57" s="1" t="s">
        <v>31</v>
      </c>
      <c r="C57" s="1">
        <v>1</v>
      </c>
      <c r="D57" s="1">
        <v>244.15384615384619</v>
      </c>
      <c r="E57" s="1">
        <v>244.15384615384619</v>
      </c>
      <c r="F57" s="1">
        <v>27.205714285714301</v>
      </c>
      <c r="G57" s="1">
        <v>1.9840263783737527E-3</v>
      </c>
    </row>
    <row r="58" spans="2:10" x14ac:dyDescent="0.3">
      <c r="B58" s="1" t="s">
        <v>32</v>
      </c>
      <c r="C58" s="1">
        <v>6</v>
      </c>
      <c r="D58" s="1">
        <v>53.846153846153825</v>
      </c>
      <c r="E58" s="1">
        <v>8.9743589743589709</v>
      </c>
      <c r="F58" s="1"/>
      <c r="G58" s="1"/>
    </row>
    <row r="59" spans="2:10" ht="15" thickBot="1" x14ac:dyDescent="0.35">
      <c r="B59" s="2" t="s">
        <v>33</v>
      </c>
      <c r="C59" s="2">
        <v>7</v>
      </c>
      <c r="D59" s="2">
        <v>298</v>
      </c>
      <c r="E59" s="2"/>
      <c r="F59" s="2"/>
      <c r="G59" s="2"/>
    </row>
    <row r="60" spans="2:10" ht="15" thickBot="1" x14ac:dyDescent="0.35"/>
    <row r="61" spans="2:10" x14ac:dyDescent="0.3">
      <c r="B61" s="3"/>
      <c r="C61" s="3" t="s">
        <v>40</v>
      </c>
      <c r="D61" s="3" t="s">
        <v>11</v>
      </c>
      <c r="E61" s="3" t="s">
        <v>41</v>
      </c>
      <c r="F61" s="3" t="s">
        <v>42</v>
      </c>
      <c r="G61" s="3" t="s">
        <v>43</v>
      </c>
      <c r="H61" s="3" t="s">
        <v>44</v>
      </c>
      <c r="I61" s="3" t="s">
        <v>45</v>
      </c>
      <c r="J61" s="3" t="s">
        <v>46</v>
      </c>
    </row>
    <row r="62" spans="2:10" x14ac:dyDescent="0.3">
      <c r="B62" s="1" t="s">
        <v>34</v>
      </c>
      <c r="C62" s="1">
        <v>65.384615384615387</v>
      </c>
      <c r="D62" s="1">
        <v>4.3702719356562332</v>
      </c>
      <c r="E62" s="1">
        <v>14.96122354564587</v>
      </c>
      <c r="F62" s="1">
        <v>5.61481033099292E-6</v>
      </c>
      <c r="G62" s="1">
        <v>54.690945192531885</v>
      </c>
      <c r="H62" s="1">
        <v>76.078285576698889</v>
      </c>
      <c r="I62" s="1">
        <v>54.690945192531885</v>
      </c>
      <c r="J62" s="1">
        <v>76.078285576698889</v>
      </c>
    </row>
    <row r="63" spans="2:10" ht="15" thickBot="1" x14ac:dyDescent="0.35">
      <c r="B63" s="2" t="s">
        <v>47</v>
      </c>
      <c r="C63" s="2">
        <v>7.0769230769230749</v>
      </c>
      <c r="D63" s="2">
        <v>1.3567955441356871</v>
      </c>
      <c r="E63" s="2">
        <v>5.2159097275273352</v>
      </c>
      <c r="F63" s="2">
        <v>1.9840263783737562E-3</v>
      </c>
      <c r="G63" s="2">
        <v>3.7569639803967743</v>
      </c>
      <c r="H63" s="2">
        <v>10.396882173449375</v>
      </c>
      <c r="I63" s="2">
        <v>3.7569639803967743</v>
      </c>
      <c r="J63" s="2">
        <v>10.396882173449375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akhilarangaswamy06@gmail.com</dc:creator>
  <cp:lastModifiedBy>akhilarangaswamy06@gmail.com</cp:lastModifiedBy>
  <dcterms:created xsi:type="dcterms:W3CDTF">2026-05-26T08:31:26Z</dcterms:created>
  <dcterms:modified xsi:type="dcterms:W3CDTF">2026-05-26T10:27:03Z</dcterms:modified>
</cp:coreProperties>
</file>