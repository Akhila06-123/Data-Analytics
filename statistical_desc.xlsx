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40210f75314b8/Documents/Data Analytics/"/>
    </mc:Choice>
  </mc:AlternateContent>
  <xr:revisionPtr revIDLastSave="50" documentId="8_{FE342241-EC0D-4F3E-B3AE-1BF443F9FB1D}" xr6:coauthVersionLast="47" xr6:coauthVersionMax="47" xr10:uidLastSave="{DA3E303D-738B-43AC-8C93-3855017E9012}"/>
  <bookViews>
    <workbookView xWindow="-108" yWindow="-108" windowWidth="23256" windowHeight="12456" activeTab="2" xr2:uid="{8E8A66AB-6DBF-4B76-9CE9-B821ED678E49}"/>
  </bookViews>
  <sheets>
    <sheet name="Sheet1" sheetId="1" r:id="rId1"/>
    <sheet name="Sheet2" sheetId="2" r:id="rId2"/>
    <sheet name="Sheet3" sheetId="3" r:id="rId3"/>
  </sheets>
  <definedNames>
    <definedName name="_xlchart.v1.0" hidden="1">Sheet1!$A$2:$A$18</definedName>
    <definedName name="_xlchart.v1.1" hidden="1">Sheet1!$B$1</definedName>
    <definedName name="_xlchart.v1.10" hidden="1">Sheet3!$A$2:$A$11</definedName>
    <definedName name="_xlchart.v1.11" hidden="1">Sheet3!$B$1</definedName>
    <definedName name="_xlchart.v1.12" hidden="1">Sheet3!$B$2:$B$11</definedName>
    <definedName name="_xlchart.v1.13" hidden="1">Sheet3!$C$1</definedName>
    <definedName name="_xlchart.v1.14" hidden="1">Sheet3!$C$2:$C$11</definedName>
    <definedName name="_xlchart.v1.15" hidden="1">Sheet3!$D$1</definedName>
    <definedName name="_xlchart.v1.16" hidden="1">Sheet3!$D$2:$D$11</definedName>
    <definedName name="_xlchart.v1.2" hidden="1">Sheet1!$B$2:$B$18</definedName>
    <definedName name="_xlchart.v1.3" hidden="1">Sheet1!$C$1</definedName>
    <definedName name="_xlchart.v1.4" hidden="1">Sheet1!$C$2:$C$18</definedName>
    <definedName name="_xlchart.v1.5" hidden="1">Sheet2!$A$2:$A$11</definedName>
    <definedName name="_xlchart.v1.6" hidden="1">Sheet2!$B$1</definedName>
    <definedName name="_xlchart.v1.7" hidden="1">Sheet2!$B$2:$B$11</definedName>
    <definedName name="_xlchart.v1.8" hidden="1">Sheet2!$C$1</definedName>
    <definedName name="_xlchart.v1.9" hidden="1">Sheet2!$C$2:$C$11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B17" i="3"/>
  <c r="B16" i="3"/>
  <c r="B15" i="3"/>
  <c r="B14" i="3"/>
  <c r="B13" i="3"/>
  <c r="B12" i="3"/>
  <c r="B18" i="2"/>
  <c r="B17" i="2"/>
  <c r="B16" i="2"/>
  <c r="B15" i="2"/>
  <c r="B14" i="2"/>
  <c r="B13" i="2"/>
  <c r="B12" i="2"/>
  <c r="B18" i="1"/>
  <c r="B17" i="1"/>
  <c r="B16" i="1"/>
  <c r="B15" i="1"/>
  <c r="B14" i="1"/>
  <c r="B13" i="1"/>
  <c r="B12" i="1"/>
</calcChain>
</file>

<file path=xl/sharedStrings.xml><?xml version="1.0" encoding="utf-8"?>
<sst xmlns="http://schemas.openxmlformats.org/spreadsheetml/2006/main" count="181" uniqueCount="88">
  <si>
    <t xml:space="preserve">Month </t>
  </si>
  <si>
    <t>Advertising Cost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</si>
  <si>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</si>
  <si>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</si>
  <si>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</si>
  <si>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</si>
  <si>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</si>
  <si>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</si>
  <si>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</si>
  <si>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</si>
  <si>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</si>
  <si>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</si>
  <si>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</si>
  <si>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mean</t>
  </si>
  <si>
    <t>mode</t>
  </si>
  <si>
    <t>median</t>
  </si>
  <si>
    <t>range</t>
  </si>
  <si>
    <t>variance</t>
  </si>
  <si>
    <t>std dev</t>
  </si>
  <si>
    <t>correlation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</si>
  <si>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</si>
  <si>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</si>
  <si>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</si>
  <si>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</si>
  <si>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</si>
  <si>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</si>
  <si>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</si>
  <si>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</si>
  <si>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</si>
  <si>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</si>
  <si>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</si>
  <si>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</si>
  <si>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</si>
  <si>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Statistical Description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</si>
  <si>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</si>
  <si>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</si>
  <si>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</si>
  <si>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</si>
  <si>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</si>
  <si>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</si>
  <si>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</si>
  <si>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</si>
  <si>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</si>
  <si>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</si>
  <si>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</si>
  <si>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</si>
  <si>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</si>
  <si>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</si>
  <si>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</si>
  <si>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</si>
  <si>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</si>
  <si>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</si>
  <si>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</si>
  <si>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</si>
  <si>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</si>
  <si>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</si>
  <si>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</si>
  <si>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</si>
  <si>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Employee</t>
  </si>
  <si>
    <t>Experience (Years)</t>
  </si>
  <si>
    <t>Salary (₹1000)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</si>
  <si>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</si>
  <si>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</si>
  <si>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</si>
  <si>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</si>
  <si>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</si>
  <si>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</si>
  <si>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</si>
  <si>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</si>
  <si>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</si>
  <si>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</si>
  <si>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correlat</t>
  </si>
  <si>
    <t>Statistical Desc</t>
  </si>
  <si>
    <t>Person</t>
  </si>
  <si>
    <t>Exercise Hours</t>
  </si>
  <si>
    <t>Weight (kg)</t>
  </si>
  <si>
    <t>Blood Pressure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</si>
  <si>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</si>
  <si>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</si>
  <si>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</si>
  <si>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</si>
  <si>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</si>
  <si>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</si>
  <si>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</si>
  <si>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</si>
  <si>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</si>
  <si>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</si>
  <si>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correla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</si>
</sst>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</a:t>
            </a:r>
            <a:r>
              <a:rPr lang="en-IN" baseline="0"/>
              <a:t> </a:t>
            </a:r>
            <a:r>
              <a:rPr lang="en-IN"/>
              <a:t>Chart for 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Advertising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Sheet1!$A$2:$A$18</c:f>
              <c:strCache>
                <c:ptCount val="1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mean</c:v>
                </c:pt>
                <c:pt idx="11">
                  <c:v>mode</c:v>
                </c:pt>
                <c:pt idx="12">
                  <c:v>median</c:v>
                </c:pt>
                <c:pt idx="13">
                  <c:v>range</c:v>
                </c:pt>
                <c:pt idx="14">
                  <c:v>variance</c:v>
                </c:pt>
                <c:pt idx="15">
                  <c:v>std dev</c:v>
                </c:pt>
                <c:pt idx="16">
                  <c:v>correlation</c:v>
                </c:pt>
              </c:strCache>
            </c:strRef>
          </c:cat>
          <c:val>
            <c:numRef>
              <c:f>Sheet1!$B$2:$B$18</c:f>
              <c:numCache>
                <c:formatCode>General</c:formatCode>
                <c:ptCount val="17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  <c:pt idx="9">
                  <c:v>35</c:v>
                </c:pt>
                <c:pt idx="10">
                  <c:v>177.5</c:v>
                </c:pt>
                <c:pt idx="11">
                  <c:v>#N/A</c:v>
                </c:pt>
                <c:pt idx="12">
                  <c:v>175</c:v>
                </c:pt>
                <c:pt idx="13">
                  <c:v>160</c:v>
                </c:pt>
                <c:pt idx="14">
                  <c:v>2773.6111111111113</c:v>
                </c:pt>
                <c:pt idx="15">
                  <c:v>52.665084364416536</c:v>
                </c:pt>
                <c:pt idx="16">
                  <c:v>0.99731010984622726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C8-45D1-84D8-75708D6FFB8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Sheet1!$A$2:$A$18</c:f>
              <c:strCache>
                <c:ptCount val="1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mean</c:v>
                </c:pt>
                <c:pt idx="11">
                  <c:v>mode</c:v>
                </c:pt>
                <c:pt idx="12">
                  <c:v>median</c:v>
                </c:pt>
                <c:pt idx="13">
                  <c:v>range</c:v>
                </c:pt>
                <c:pt idx="14">
                  <c:v>variance</c:v>
                </c:pt>
                <c:pt idx="15">
                  <c:v>std dev</c:v>
                </c:pt>
                <c:pt idx="16">
                  <c:v>correlation</c:v>
                </c:pt>
              </c:strCache>
            </c:strRef>
          </c:cat>
          <c:val>
            <c:numRef>
              <c:f>Sheet1!$C$2:$C$18</c:f>
              <c:numCache>
                <c:formatCode>General</c:formatCode>
                <c:ptCount val="17"/>
                <c:pt idx="0">
                  <c:v>100</c:v>
                </c:pt>
                <c:pt idx="1">
                  <c:v>120</c:v>
                </c:pt>
                <c:pt idx="2">
                  <c:v>135</c:v>
                </c:pt>
                <c:pt idx="3">
                  <c:v>150</c:v>
                </c:pt>
                <c:pt idx="4">
                  <c:v>170</c:v>
                </c:pt>
                <c:pt idx="5">
                  <c:v>180</c:v>
                </c:pt>
                <c:pt idx="6">
                  <c:v>200</c:v>
                </c:pt>
                <c:pt idx="7">
                  <c:v>220</c:v>
                </c:pt>
                <c:pt idx="8">
                  <c:v>240</c:v>
                </c:pt>
                <c:pt idx="9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8-45D1-84D8-75708D6FF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690591"/>
        <c:axId val="1008685791"/>
      </c:barChart>
      <c:catAx>
        <c:axId val="1008690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8685791"/>
        <c:crosses val="autoZero"/>
        <c:auto val="1"/>
        <c:lblAlgn val="ctr"/>
        <c:lblOffset val="100"/>
        <c:noMultiLvlLbl val="0"/>
      </c:catAx>
      <c:valAx>
        <c:axId val="10086857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869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 for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Sheet1!$A$5:$A$14</c:f>
              <c:strCache>
                <c:ptCount val="10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mean</c:v>
                </c:pt>
                <c:pt idx="8">
                  <c:v>mode</c:v>
                </c:pt>
                <c:pt idx="9">
                  <c:v>median</c:v>
                </c:pt>
              </c:strCache>
            </c:strRef>
          </c:cat>
          <c:val>
            <c:numRef>
              <c:f>Sheet1!$C$5:$C$14</c:f>
              <c:numCache>
                <c:formatCode>General</c:formatCode>
                <c:ptCount val="10"/>
                <c:pt idx="0">
                  <c:v>150</c:v>
                </c:pt>
                <c:pt idx="1">
                  <c:v>170</c:v>
                </c:pt>
                <c:pt idx="2">
                  <c:v>180</c:v>
                </c:pt>
                <c:pt idx="3">
                  <c:v>200</c:v>
                </c:pt>
                <c:pt idx="4">
                  <c:v>220</c:v>
                </c:pt>
                <c:pt idx="5">
                  <c:v>240</c:v>
                </c:pt>
                <c:pt idx="6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C-433A-A7F7-A4945C7C0DE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Sheet1!$A$5:$A$14</c:f>
              <c:strCache>
                <c:ptCount val="10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mean</c:v>
                </c:pt>
                <c:pt idx="8">
                  <c:v>mode</c:v>
                </c:pt>
                <c:pt idx="9">
                  <c:v>median</c:v>
                </c:pt>
              </c:strCache>
            </c:strRef>
          </c:cat>
          <c:val>
            <c:numRef>
              <c:f>Sheet1!$D$5:$D$14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C-433A-A7F7-A4945C7C0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704031"/>
        <c:axId val="1008692031"/>
      </c:lineChart>
      <c:catAx>
        <c:axId val="100870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692031"/>
        <c:crosses val="autoZero"/>
        <c:auto val="1"/>
        <c:lblAlgn val="ctr"/>
        <c:lblOffset val="100"/>
        <c:noMultiLvlLbl val="0"/>
      </c:catAx>
      <c:valAx>
        <c:axId val="100869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0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Advertising 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A2B-4D14-A4EB-F0600B77ED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A2B-4D14-A4EB-F0600B77ED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A2B-4D14-A4EB-F0600B77ED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A2B-4D14-A4EB-F0600B77ED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A2B-4D14-A4EB-F0600B77ED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A2B-4D14-A4EB-F0600B77ED4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A2B-4D14-A4EB-F0600B77ED4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A2B-4D14-A4EB-F0600B77ED4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A2B-4D14-A4EB-F0600B77ED4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A2B-4D14-A4EB-F0600B77ED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4-4CED-BA23-14E2154BFCC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A2B-4D14-A4EB-F0600B77ED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A2B-4D14-A4EB-F0600B77ED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EA2B-4D14-A4EB-F0600B77ED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EA2B-4D14-A4EB-F0600B77ED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EA2B-4D14-A4EB-F0600B77ED4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EA2B-4D14-A4EB-F0600B77ED4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EA2B-4D14-A4EB-F0600B77ED4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EA2B-4D14-A4EB-F0600B77ED4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EA2B-4D14-A4EB-F0600B77ED4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EA2B-4D14-A4EB-F0600B77ED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100</c:v>
                </c:pt>
                <c:pt idx="1">
                  <c:v>120</c:v>
                </c:pt>
                <c:pt idx="2">
                  <c:v>135</c:v>
                </c:pt>
                <c:pt idx="3">
                  <c:v>150</c:v>
                </c:pt>
                <c:pt idx="4">
                  <c:v>170</c:v>
                </c:pt>
                <c:pt idx="5">
                  <c:v>180</c:v>
                </c:pt>
                <c:pt idx="6">
                  <c:v>200</c:v>
                </c:pt>
                <c:pt idx="7">
                  <c:v>220</c:v>
                </c:pt>
                <c:pt idx="8">
                  <c:v>240</c:v>
                </c:pt>
                <c:pt idx="9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4-4CED-BA23-14E2154BFC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Scatter plot for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Advertising Cost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25</c:v>
                </c:pt>
                <c:pt idx="7">
                  <c:v>28</c:v>
                </c:pt>
                <c:pt idx="8">
                  <c:v>30</c:v>
                </c:pt>
                <c:pt idx="9">
                  <c:v>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F8-4F0C-A638-A794951CA4B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9324009517888321"/>
                  <c:y val="0.323169638952448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Sheet1!$A$2:$A$11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100</c:v>
                </c:pt>
                <c:pt idx="1">
                  <c:v>120</c:v>
                </c:pt>
                <c:pt idx="2">
                  <c:v>135</c:v>
                </c:pt>
                <c:pt idx="3">
                  <c:v>150</c:v>
                </c:pt>
                <c:pt idx="4">
                  <c:v>170</c:v>
                </c:pt>
                <c:pt idx="5">
                  <c:v>180</c:v>
                </c:pt>
                <c:pt idx="6">
                  <c:v>200</c:v>
                </c:pt>
                <c:pt idx="7">
                  <c:v>220</c:v>
                </c:pt>
                <c:pt idx="8">
                  <c:v>240</c:v>
                </c:pt>
                <c:pt idx="9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F8-4F0C-A638-A794951CA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691551"/>
        <c:axId val="1008702111"/>
      </c:scatterChart>
      <c:valAx>
        <c:axId val="1008691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02111"/>
        <c:crosses val="autoZero"/>
        <c:crossBetween val="midCat"/>
      </c:valAx>
      <c:valAx>
        <c:axId val="100870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691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 Chart for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Experience (Years)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Sheet2!$A$2:$A$11</c:f>
              <c:strCache>
                <c:ptCount val="10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</c:strCache>
            </c:strRef>
          </c:cat>
          <c:val>
            <c:numRef>
              <c:f>Sheet2!$B$2:$B$11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5-43D3-95E3-E17790A8FB2A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Salary (₹1000)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Sheet2!$A$2:$A$11</c:f>
              <c:strCache>
                <c:ptCount val="10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</c:strCache>
            </c:strRef>
          </c:cat>
          <c:val>
            <c:numRef>
              <c:f>Sheet2!$C$2:$C$11</c:f>
              <c:numCache>
                <c:formatCode>General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28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C5-43D3-95E3-E17790A8F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682911"/>
        <c:axId val="1008681951"/>
      </c:barChart>
      <c:catAx>
        <c:axId val="100868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681951"/>
        <c:crosses val="autoZero"/>
        <c:auto val="1"/>
        <c:lblAlgn val="ctr"/>
        <c:lblOffset val="100"/>
        <c:noMultiLvlLbl val="0"/>
      </c:catAx>
      <c:valAx>
        <c:axId val="100868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68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Line Chart for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Salary (₹1000)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Sheet2!$A$2:$A$11</c:f>
              <c:strCache>
                <c:ptCount val="10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</c:strCache>
            </c:strRef>
          </c:cat>
          <c:val>
            <c:numRef>
              <c:f>Sheet2!$C$2:$C$11</c:f>
              <c:numCache>
                <c:formatCode>General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28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57-419A-800D-47AFECEFF415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Sheet2!$A$2:$A$11</c:f>
              <c:strCache>
                <c:ptCount val="10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</c:strCache>
            </c:strRef>
          </c:cat>
          <c:val>
            <c:numRef>
              <c:f>Sheet2!$D$2:$D$11</c:f>
              <c:numCache>
                <c:formatCode>General</c:formatCode>
                <c:ptCount val="1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57-419A-800D-47AFECEFF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701151"/>
        <c:axId val="1008701631"/>
      </c:lineChart>
      <c:catAx>
        <c:axId val="100870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01631"/>
        <c:crosses val="autoZero"/>
        <c:auto val="1"/>
        <c:lblAlgn val="ctr"/>
        <c:lblOffset val="100"/>
        <c:noMultiLvlLbl val="0"/>
      </c:catAx>
      <c:valAx>
        <c:axId val="100870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0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Sheet2!$C$1</c:f>
              <c:strCache>
                <c:ptCount val="1"/>
                <c:pt idx="0">
                  <c:v>Salary (₹1000)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575-4D08-AE32-0AA97E3EF2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575-4D08-AE32-0AA97E3EF2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575-4D08-AE32-0AA97E3EF2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575-4D08-AE32-0AA97E3EF2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575-4D08-AE32-0AA97E3EF2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575-4D08-AE32-0AA97E3EF2D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575-4D08-AE32-0AA97E3EF2D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575-4D08-AE32-0AA97E3EF2D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575-4D08-AE32-0AA97E3EF2D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575-4D08-AE32-0AA97E3EF2D1}"/>
              </c:ext>
            </c:extLst>
          </c:dPt>
          <c:cat>
            <c:strRef>
              <c:f>Sheet2!$A$3:$A$12</c:f>
              <c:strCache>
                <c:ptCount val="10"/>
                <c:pt idx="0">
                  <c:v>E2</c:v>
                </c:pt>
                <c:pt idx="1">
                  <c:v>E3</c:v>
                </c:pt>
                <c:pt idx="2">
                  <c:v>E4</c:v>
                </c:pt>
                <c:pt idx="3">
                  <c:v>E5</c:v>
                </c:pt>
                <c:pt idx="4">
                  <c:v>E6</c:v>
                </c:pt>
                <c:pt idx="5">
                  <c:v>E7</c:v>
                </c:pt>
                <c:pt idx="6">
                  <c:v>E8</c:v>
                </c:pt>
                <c:pt idx="7">
                  <c:v>E9</c:v>
                </c:pt>
                <c:pt idx="8">
                  <c:v>E10</c:v>
                </c:pt>
                <c:pt idx="9">
                  <c:v>mean</c:v>
                </c:pt>
              </c:strCache>
            </c:strRef>
          </c:cat>
          <c:val>
            <c:numRef>
              <c:f>Sheet2!$C$3:$C$12</c:f>
              <c:numCache>
                <c:formatCode>General</c:formatCode>
                <c:ptCount val="10"/>
                <c:pt idx="0">
                  <c:v>25</c:v>
                </c:pt>
                <c:pt idx="1">
                  <c:v>28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F-4A1F-8B3E-41781D5E510E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575-4D08-AE32-0AA97E3EF2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575-4D08-AE32-0AA97E3EF2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4575-4D08-AE32-0AA97E3EF2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4575-4D08-AE32-0AA97E3EF2D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4575-4D08-AE32-0AA97E3EF2D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4575-4D08-AE32-0AA97E3EF2D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4575-4D08-AE32-0AA97E3EF2D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4575-4D08-AE32-0AA97E3EF2D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4575-4D08-AE32-0AA97E3EF2D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4575-4D08-AE32-0AA97E3EF2D1}"/>
              </c:ext>
            </c:extLst>
          </c:dPt>
          <c:cat>
            <c:strRef>
              <c:f>Sheet2!$A$3:$A$12</c:f>
              <c:strCache>
                <c:ptCount val="10"/>
                <c:pt idx="0">
                  <c:v>E2</c:v>
                </c:pt>
                <c:pt idx="1">
                  <c:v>E3</c:v>
                </c:pt>
                <c:pt idx="2">
                  <c:v>E4</c:v>
                </c:pt>
                <c:pt idx="3">
                  <c:v>E5</c:v>
                </c:pt>
                <c:pt idx="4">
                  <c:v>E6</c:v>
                </c:pt>
                <c:pt idx="5">
                  <c:v>E7</c:v>
                </c:pt>
                <c:pt idx="6">
                  <c:v>E8</c:v>
                </c:pt>
                <c:pt idx="7">
                  <c:v>E9</c:v>
                </c:pt>
                <c:pt idx="8">
                  <c:v>E10</c:v>
                </c:pt>
                <c:pt idx="9">
                  <c:v>mean</c:v>
                </c:pt>
              </c:strCache>
            </c:strRef>
          </c:cat>
          <c:val>
            <c:numRef>
              <c:f>Sheet2!$D$3:$D$12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A73F-4A1F-8B3E-41781D5E5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</a:t>
            </a:r>
            <a:r>
              <a:rPr lang="en-IN" baseline="0"/>
              <a:t>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Experience (Years)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Sheet2!$A$2:$A$11</c:f>
              <c:strCache>
                <c:ptCount val="10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</c:strCache>
            </c:strRef>
          </c:xVal>
          <c:yVal>
            <c:numRef>
              <c:f>Sheet2!$B$2:$B$11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13-4DD8-BAAE-FC480244C50F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Salary (₹1000)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Sheet2!$A$2:$A$11</c:f>
              <c:strCache>
                <c:ptCount val="10"/>
                <c:pt idx="0">
                  <c:v>E1</c:v>
                </c:pt>
                <c:pt idx="1">
                  <c:v>E2</c:v>
                </c:pt>
                <c:pt idx="2">
                  <c:v>E3</c:v>
                </c:pt>
                <c:pt idx="3">
                  <c:v>E4</c:v>
                </c:pt>
                <c:pt idx="4">
                  <c:v>E5</c:v>
                </c:pt>
                <c:pt idx="5">
                  <c:v>E6</c:v>
                </c:pt>
                <c:pt idx="6">
                  <c:v>E7</c:v>
                </c:pt>
                <c:pt idx="7">
                  <c:v>E8</c:v>
                </c:pt>
                <c:pt idx="8">
                  <c:v>E9</c:v>
                </c:pt>
                <c:pt idx="9">
                  <c:v>E10</c:v>
                </c:pt>
              </c:strCache>
            </c:strRef>
          </c:xVal>
          <c:yVal>
            <c:numRef>
              <c:f>Sheet2!$C$2:$C$11</c:f>
              <c:numCache>
                <c:formatCode>General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28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13-4DD8-BAAE-FC480244C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8694911"/>
        <c:axId val="1008717471"/>
      </c:scatterChart>
      <c:valAx>
        <c:axId val="100869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17471"/>
        <c:crosses val="autoZero"/>
        <c:crossBetween val="midCat"/>
      </c:valAx>
      <c:valAx>
        <c:axId val="10087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694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Bar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Exercise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Sheet3!$A$2:$A$18</c:f>
              <c:strCache>
                <c:ptCount val="17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mean</c:v>
                </c:pt>
                <c:pt idx="11">
                  <c:v>mode</c:v>
                </c:pt>
                <c:pt idx="12">
                  <c:v>median</c:v>
                </c:pt>
                <c:pt idx="13">
                  <c:v>range</c:v>
                </c:pt>
                <c:pt idx="14">
                  <c:v>variance</c:v>
                </c:pt>
                <c:pt idx="15">
                  <c:v>std dev</c:v>
                </c:pt>
                <c:pt idx="16">
                  <c:v>correla</c:v>
                </c:pt>
              </c:strCache>
            </c:strRef>
          </c:cat>
          <c:val>
            <c:numRef>
              <c:f>Sheet3!$B$2:$B$18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6</c:v>
                </c:pt>
                <c:pt idx="10">
                  <c:v>129.1</c:v>
                </c:pt>
                <c:pt idx="11">
                  <c:v>#N/A</c:v>
                </c:pt>
                <c:pt idx="12">
                  <c:v>129</c:v>
                </c:pt>
                <c:pt idx="13">
                  <c:v>22</c:v>
                </c:pt>
                <c:pt idx="14">
                  <c:v>56.099999999999994</c:v>
                </c:pt>
                <c:pt idx="15">
                  <c:v>7.4899933244296015</c:v>
                </c:pt>
                <c:pt idx="16">
                  <c:v>0.98648702025889357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1-4360-B524-2D66B193A3C4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Weight (kg)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Sheet3!$A$2:$A$18</c:f>
              <c:strCache>
                <c:ptCount val="17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mean</c:v>
                </c:pt>
                <c:pt idx="11">
                  <c:v>mode</c:v>
                </c:pt>
                <c:pt idx="12">
                  <c:v>median</c:v>
                </c:pt>
                <c:pt idx="13">
                  <c:v>range</c:v>
                </c:pt>
                <c:pt idx="14">
                  <c:v>variance</c:v>
                </c:pt>
                <c:pt idx="15">
                  <c:v>std dev</c:v>
                </c:pt>
                <c:pt idx="16">
                  <c:v>correla</c:v>
                </c:pt>
              </c:strCache>
            </c:strRef>
          </c:cat>
          <c:val>
            <c:numRef>
              <c:f>Sheet3!$C$2:$C$18</c:f>
              <c:numCache>
                <c:formatCode>General</c:formatCode>
                <c:ptCount val="17"/>
                <c:pt idx="0">
                  <c:v>85</c:v>
                </c:pt>
                <c:pt idx="1">
                  <c:v>82</c:v>
                </c:pt>
                <c:pt idx="2">
                  <c:v>80</c:v>
                </c:pt>
                <c:pt idx="3">
                  <c:v>76</c:v>
                </c:pt>
                <c:pt idx="4">
                  <c:v>72</c:v>
                </c:pt>
                <c:pt idx="5">
                  <c:v>70</c:v>
                </c:pt>
                <c:pt idx="6">
                  <c:v>84</c:v>
                </c:pt>
                <c:pt idx="7">
                  <c:v>78</c:v>
                </c:pt>
                <c:pt idx="8">
                  <c:v>74</c:v>
                </c:pt>
                <c:pt idx="9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F1-4360-B524-2D66B193A3C4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Blood Pressure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Sheet3!$A$2:$A$18</c:f>
              <c:strCache>
                <c:ptCount val="17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mean</c:v>
                </c:pt>
                <c:pt idx="11">
                  <c:v>mode</c:v>
                </c:pt>
                <c:pt idx="12">
                  <c:v>median</c:v>
                </c:pt>
                <c:pt idx="13">
                  <c:v>range</c:v>
                </c:pt>
                <c:pt idx="14">
                  <c:v>variance</c:v>
                </c:pt>
                <c:pt idx="15">
                  <c:v>std dev</c:v>
                </c:pt>
                <c:pt idx="16">
                  <c:v>correla</c:v>
                </c:pt>
              </c:strCache>
            </c:strRef>
          </c:cat>
          <c:val>
            <c:numRef>
              <c:f>Sheet3!$D$2:$D$18</c:f>
              <c:numCache>
                <c:formatCode>General</c:formatCode>
                <c:ptCount val="17"/>
                <c:pt idx="0">
                  <c:v>140</c:v>
                </c:pt>
                <c:pt idx="1">
                  <c:v>138</c:v>
                </c:pt>
                <c:pt idx="2">
                  <c:v>132</c:v>
                </c:pt>
                <c:pt idx="3">
                  <c:v>128</c:v>
                </c:pt>
                <c:pt idx="4">
                  <c:v>124</c:v>
                </c:pt>
                <c:pt idx="5">
                  <c:v>120</c:v>
                </c:pt>
                <c:pt idx="6">
                  <c:v>136</c:v>
                </c:pt>
                <c:pt idx="7">
                  <c:v>130</c:v>
                </c:pt>
                <c:pt idx="8">
                  <c:v>125</c:v>
                </c:pt>
                <c:pt idx="9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F1-4360-B524-2D66B193A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8714111"/>
        <c:axId val="1008714591"/>
      </c:barChart>
      <c:catAx>
        <c:axId val="1008714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14591"/>
        <c:crosses val="autoZero"/>
        <c:auto val="1"/>
        <c:lblAlgn val="ctr"/>
        <c:lblOffset val="100"/>
        <c:noMultiLvlLbl val="0"/>
      </c:catAx>
      <c:valAx>
        <c:axId val="100871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71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Exercise Hours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Sheet3!$A$2:$A$18</c:f>
              <c:strCache>
                <c:ptCount val="17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mean</c:v>
                </c:pt>
                <c:pt idx="11">
                  <c:v>mode</c:v>
                </c:pt>
                <c:pt idx="12">
                  <c:v>median</c:v>
                </c:pt>
                <c:pt idx="13">
                  <c:v>range</c:v>
                </c:pt>
                <c:pt idx="14">
                  <c:v>variance</c:v>
                </c:pt>
                <c:pt idx="15">
                  <c:v>std dev</c:v>
                </c:pt>
                <c:pt idx="16">
                  <c:v>correla</c:v>
                </c:pt>
              </c:strCache>
            </c:strRef>
          </c:cat>
          <c:val>
            <c:numRef>
              <c:f>Sheet3!$B$2:$B$18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6</c:v>
                </c:pt>
                <c:pt idx="10">
                  <c:v>129.1</c:v>
                </c:pt>
                <c:pt idx="11">
                  <c:v>#N/A</c:v>
                </c:pt>
                <c:pt idx="12">
                  <c:v>129</c:v>
                </c:pt>
                <c:pt idx="13">
                  <c:v>22</c:v>
                </c:pt>
                <c:pt idx="14">
                  <c:v>56.099999999999994</c:v>
                </c:pt>
                <c:pt idx="15">
                  <c:v>7.4899933244296015</c:v>
                </c:pt>
                <c:pt idx="16">
                  <c:v>0.98648702025889357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88-49DE-A065-B0EC12B8F075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Weight (kg)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Sheet3!$A$2:$A$18</c:f>
              <c:strCache>
                <c:ptCount val="17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mean</c:v>
                </c:pt>
                <c:pt idx="11">
                  <c:v>mode</c:v>
                </c:pt>
                <c:pt idx="12">
                  <c:v>median</c:v>
                </c:pt>
                <c:pt idx="13">
                  <c:v>range</c:v>
                </c:pt>
                <c:pt idx="14">
                  <c:v>variance</c:v>
                </c:pt>
                <c:pt idx="15">
                  <c:v>std dev</c:v>
                </c:pt>
                <c:pt idx="16">
                  <c:v>correla</c:v>
                </c:pt>
              </c:strCache>
            </c:strRef>
          </c:cat>
          <c:val>
            <c:numRef>
              <c:f>Sheet3!$C$2:$C$18</c:f>
              <c:numCache>
                <c:formatCode>General</c:formatCode>
                <c:ptCount val="17"/>
                <c:pt idx="0">
                  <c:v>85</c:v>
                </c:pt>
                <c:pt idx="1">
                  <c:v>82</c:v>
                </c:pt>
                <c:pt idx="2">
                  <c:v>80</c:v>
                </c:pt>
                <c:pt idx="3">
                  <c:v>76</c:v>
                </c:pt>
                <c:pt idx="4">
                  <c:v>72</c:v>
                </c:pt>
                <c:pt idx="5">
                  <c:v>70</c:v>
                </c:pt>
                <c:pt idx="6">
                  <c:v>84</c:v>
                </c:pt>
                <c:pt idx="7">
                  <c:v>78</c:v>
                </c:pt>
                <c:pt idx="8">
                  <c:v>74</c:v>
                </c:pt>
                <c:pt idx="9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88-49DE-A065-B0EC12B8F075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Blood Pressure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Sheet3!$A$2:$A$18</c:f>
              <c:strCache>
                <c:ptCount val="17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  <c:pt idx="10">
                  <c:v>mean</c:v>
                </c:pt>
                <c:pt idx="11">
                  <c:v>mode</c:v>
                </c:pt>
                <c:pt idx="12">
                  <c:v>median</c:v>
                </c:pt>
                <c:pt idx="13">
                  <c:v>range</c:v>
                </c:pt>
                <c:pt idx="14">
                  <c:v>variance</c:v>
                </c:pt>
                <c:pt idx="15">
                  <c:v>std dev</c:v>
                </c:pt>
                <c:pt idx="16">
                  <c:v>correla</c:v>
                </c:pt>
              </c:strCache>
            </c:strRef>
          </c:cat>
          <c:val>
            <c:numRef>
              <c:f>Sheet3!$D$2:$D$18</c:f>
              <c:numCache>
                <c:formatCode>General</c:formatCode>
                <c:ptCount val="17"/>
                <c:pt idx="0">
                  <c:v>140</c:v>
                </c:pt>
                <c:pt idx="1">
                  <c:v>138</c:v>
                </c:pt>
                <c:pt idx="2">
                  <c:v>132</c:v>
                </c:pt>
                <c:pt idx="3">
                  <c:v>128</c:v>
                </c:pt>
                <c:pt idx="4">
                  <c:v>124</c:v>
                </c:pt>
                <c:pt idx="5">
                  <c:v>120</c:v>
                </c:pt>
                <c:pt idx="6">
                  <c:v>136</c:v>
                </c:pt>
                <c:pt idx="7">
                  <c:v>130</c:v>
                </c:pt>
                <c:pt idx="8">
                  <c:v>125</c:v>
                </c:pt>
                <c:pt idx="9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88-49DE-A065-B0EC12B8F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384079"/>
        <c:axId val="1138385039"/>
      </c:lineChart>
      <c:catAx>
        <c:axId val="113838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85039"/>
        <c:crosses val="autoZero"/>
        <c:auto val="1"/>
        <c:lblAlgn val="ctr"/>
        <c:lblOffset val="100"/>
        <c:noMultiLvlLbl val="0"/>
      </c:catAx>
      <c:valAx>
        <c:axId val="113838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38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Sheet3!$B$1</c:f>
              <c:strCache>
                <c:ptCount val="1"/>
                <c:pt idx="0">
                  <c:v>Exercise 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3E-4765-B011-27E5DB7CFF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3E-4765-B011-27E5DB7CFF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3E-4765-B011-27E5DB7CFF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3E-4765-B011-27E5DB7CFF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F3E-4765-B011-27E5DB7CFF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F3E-4765-B011-27E5DB7CFF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F3E-4765-B011-27E5DB7CFF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F3E-4765-B011-27E5DB7CFF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F3E-4765-B011-27E5DB7CFF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F3E-4765-B011-27E5DB7CFFF0}"/>
              </c:ext>
            </c:extLst>
          </c:dPt>
          <c:cat>
            <c:strRef>
              <c:f>Sheet3!$A$2:$A$11</c:f>
              <c:strCache>
                <c:ptCount val="10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</c:strCache>
            </c:strRef>
          </c:cat>
          <c:val>
            <c:numRef>
              <c:f>Sheet3!$B$2:$B$11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1-431B-9602-E3D4D15C27C3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Weight (kg)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F3E-4765-B011-27E5DB7CFF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F3E-4765-B011-27E5DB7CFF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F3E-4765-B011-27E5DB7CFF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F3E-4765-B011-27E5DB7CFF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F3E-4765-B011-27E5DB7CFF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F3E-4765-B011-27E5DB7CFF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AF3E-4765-B011-27E5DB7CFF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AF3E-4765-B011-27E5DB7CFF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AF3E-4765-B011-27E5DB7CFF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AF3E-4765-B011-27E5DB7CFFF0}"/>
              </c:ext>
            </c:extLst>
          </c:dPt>
          <c:cat>
            <c:strRef>
              <c:f>Sheet3!$A$2:$A$11</c:f>
              <c:strCache>
                <c:ptCount val="10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</c:strCache>
            </c:strRef>
          </c:cat>
          <c:val>
            <c:numRef>
              <c:f>Sheet3!$C$2:$C$11</c:f>
              <c:numCache>
                <c:formatCode>General</c:formatCode>
                <c:ptCount val="10"/>
                <c:pt idx="0">
                  <c:v>85</c:v>
                </c:pt>
                <c:pt idx="1">
                  <c:v>82</c:v>
                </c:pt>
                <c:pt idx="2">
                  <c:v>80</c:v>
                </c:pt>
                <c:pt idx="3">
                  <c:v>76</c:v>
                </c:pt>
                <c:pt idx="4">
                  <c:v>72</c:v>
                </c:pt>
                <c:pt idx="5">
                  <c:v>70</c:v>
                </c:pt>
                <c:pt idx="6">
                  <c:v>84</c:v>
                </c:pt>
                <c:pt idx="7">
                  <c:v>78</c:v>
                </c:pt>
                <c:pt idx="8">
                  <c:v>74</c:v>
                </c:pt>
                <c:pt idx="9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61-431B-9602-E3D4D15C27C3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Blood Pressure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AF3E-4765-B011-27E5DB7CFF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AF3E-4765-B011-27E5DB7CFF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AF3E-4765-B011-27E5DB7CFF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AF3E-4765-B011-27E5DB7CFF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AF3E-4765-B011-27E5DB7CFF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AF3E-4765-B011-27E5DB7CFF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AF3E-4765-B011-27E5DB7CFF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AF3E-4765-B011-27E5DB7CFF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AF3E-4765-B011-27E5DB7CFF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AF3E-4765-B011-27E5DB7CFFF0}"/>
              </c:ext>
            </c:extLst>
          </c:dPt>
          <c:cat>
            <c:strRef>
              <c:f>Sheet3!$A$2:$A$11</c:f>
              <c:strCache>
                <c:ptCount val="10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</c:strCache>
            </c:strRef>
          </c:cat>
          <c:val>
            <c:numRef>
              <c:f>Sheet3!$D$2:$D$11</c:f>
              <c:numCache>
                <c:formatCode>General</c:formatCode>
                <c:ptCount val="10"/>
                <c:pt idx="0">
                  <c:v>140</c:v>
                </c:pt>
                <c:pt idx="1">
                  <c:v>138</c:v>
                </c:pt>
                <c:pt idx="2">
                  <c:v>132</c:v>
                </c:pt>
                <c:pt idx="3">
                  <c:v>128</c:v>
                </c:pt>
                <c:pt idx="4">
                  <c:v>124</c:v>
                </c:pt>
                <c:pt idx="5">
                  <c:v>120</c:v>
                </c:pt>
                <c:pt idx="6">
                  <c:v>136</c:v>
                </c:pt>
                <c:pt idx="7">
                  <c:v>130</c:v>
                </c:pt>
                <c:pt idx="8">
                  <c:v>125</c:v>
                </c:pt>
                <c:pt idx="9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61-431B-9602-E3D4D15C2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Scatter</a:t>
            </a:r>
            <a:r>
              <a:rPr lang="en-IN" baseline="0"/>
              <a:t> plot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Exercise Hours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Sheet3!$A$2:$A$11</c:f>
              <c:strCache>
                <c:ptCount val="10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</c:strCache>
            </c:strRef>
          </c:xVal>
          <c:yVal>
            <c:numRef>
              <c:f>Sheet3!$B$2:$B$11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B-4137-B73A-94EAA0E8287A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Weight (kg)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Sheet3!$A$2:$A$11</c:f>
              <c:strCache>
                <c:ptCount val="10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</c:strCache>
            </c:strRef>
          </c:xVal>
          <c:yVal>
            <c:numRef>
              <c:f>Sheet3!$C$2:$C$11</c:f>
              <c:numCache>
                <c:formatCode>General</c:formatCode>
                <c:ptCount val="10"/>
                <c:pt idx="0">
                  <c:v>85</c:v>
                </c:pt>
                <c:pt idx="1">
                  <c:v>82</c:v>
                </c:pt>
                <c:pt idx="2">
                  <c:v>80</c:v>
                </c:pt>
                <c:pt idx="3">
                  <c:v>76</c:v>
                </c:pt>
                <c:pt idx="4">
                  <c:v>72</c:v>
                </c:pt>
                <c:pt idx="5">
                  <c:v>70</c:v>
                </c:pt>
                <c:pt idx="6">
                  <c:v>84</c:v>
                </c:pt>
                <c:pt idx="7">
                  <c:v>78</c:v>
                </c:pt>
                <c:pt idx="8">
                  <c:v>74</c:v>
                </c:pt>
                <c:pt idx="9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AB-4137-B73A-94EAA0E8287A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Blood Pressure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Sheet3!$A$2:$A$11</c:f>
              <c:strCache>
                <c:ptCount val="10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  <c:pt idx="4">
                  <c:v>P5</c:v>
                </c:pt>
                <c:pt idx="5">
                  <c:v>P6</c:v>
                </c:pt>
                <c:pt idx="6">
                  <c:v>P7</c:v>
                </c:pt>
                <c:pt idx="7">
                  <c:v>P8</c:v>
                </c:pt>
                <c:pt idx="8">
                  <c:v>P9</c:v>
                </c:pt>
                <c:pt idx="9">
                  <c:v>P10</c:v>
                </c:pt>
              </c:strCache>
            </c:strRef>
          </c:xVal>
          <c:yVal>
            <c:numRef>
              <c:f>Sheet3!$D$2:$D$11</c:f>
              <c:numCache>
                <c:formatCode>General</c:formatCode>
                <c:ptCount val="10"/>
                <c:pt idx="0">
                  <c:v>140</c:v>
                </c:pt>
                <c:pt idx="1">
                  <c:v>138</c:v>
                </c:pt>
                <c:pt idx="2">
                  <c:v>132</c:v>
                </c:pt>
                <c:pt idx="3">
                  <c:v>128</c:v>
                </c:pt>
                <c:pt idx="4">
                  <c:v>124</c:v>
                </c:pt>
                <c:pt idx="5">
                  <c:v>120</c:v>
                </c:pt>
                <c:pt idx="6">
                  <c:v>136</c:v>
                </c:pt>
                <c:pt idx="7">
                  <c:v>130</c:v>
                </c:pt>
                <c:pt idx="8">
                  <c:v>125</c:v>
                </c:pt>
                <c:pt idx="9">
                  <c:v>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AB-4137-B73A-94EAA0E82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78335"/>
        <c:axId val="88980735"/>
      </c:scatterChart>
      <c:valAx>
        <c:axId val="8897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80735"/>
        <c:crosses val="autoZero"/>
        <c:crossBetween val="midCat"/>
      </c:valAx>
      <c:valAx>
        <c:axId val="889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Statistic</a:t>
            </a:r>
            <a:r>
              <a:rPr lang="en-I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 Chart for sales</a:t>
            </a:r>
            <a:endParaRPr lang="en-IN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5B1C765F-9362-49EC-BA88-2B5CD9645089}" formatIdx="0">
          <cx:tx>
            <cx:txData>
              <cx:f>_xlchart.v1.1</cx:f>
              <cx:v>Advertising Cost</cx:v>
            </cx:txData>
          </cx:tx>
          <cx:dataId val="0"/>
          <cx:layoutPr>
            <cx:binning intervalClosed="r"/>
          </cx:layoutPr>
        </cx:series>
        <cx:series layoutId="clusteredColumn" hidden="1" uniqueId="{BCC7DC2A-B2E0-47B7-8C6D-6892D4BC6ECD}" formatIdx="1">
          <cx:tx>
            <cx:txData>
              <cx:f>_xlchart.v1.3</cx:f>
              <cx:v>Sales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  <cx:data id="1">
      <cx:strDim type="cat">
        <cx:f>_xlchart.v1.5</cx:f>
      </cx:strDim>
      <cx:numDim type="val">
        <cx:f>_xlchart.v1.9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IN" sz="1200" b="0" i="0" baseline="0">
                <a:effectLst/>
              </a:rPr>
              <a:t>Statistic Chart for Employee</a:t>
            </a:r>
            <a:endParaRPr lang="en-IN" sz="1200">
              <a:effectLst/>
            </a:endParaRPr>
          </a:p>
        </cx:rich>
      </cx:tx>
    </cx:title>
    <cx:plotArea>
      <cx:plotAreaRegion>
        <cx:series layoutId="clusteredColumn" uniqueId="{FA352468-33E1-4872-AB11-C54269420554}" formatIdx="0">
          <cx:tx>
            <cx:txData>
              <cx:f>_xlchart.v1.6</cx:f>
              <cx:v>Experience (Years)</cx:v>
            </cx:txData>
          </cx:tx>
          <cx:dataId val="0"/>
          <cx:layoutPr>
            <cx:binning intervalClosed="r"/>
          </cx:layoutPr>
        </cx:series>
        <cx:series layoutId="clusteredColumn" hidden="1" uniqueId="{A4E1511C-B03E-4D67-B327-9B047C3EA8C7}" formatIdx="1">
          <cx:tx>
            <cx:txData>
              <cx:f>_xlchart.v1.8</cx:f>
              <cx:v>Salary (₹1000)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_xlchart.v1.12</cx:f>
      </cx:numDim>
    </cx:data>
    <cx:data id="1">
      <cx:strDim type="cat">
        <cx:f>_xlchart.v1.10</cx:f>
      </cx:strDim>
      <cx:numDim type="val">
        <cx:f>_xlchart.v1.14</cx:f>
      </cx:numDim>
    </cx:data>
    <cx:data id="2">
      <cx:strDim type="cat">
        <cx:f>_xlchart.v1.10</cx:f>
      </cx:strDim>
      <cx:numDim type="val">
        <cx:f>_xlchart.v1.16</cx:f>
      </cx:numDim>
    </cx:data>
  </cx:chartData>
  <cx:chart>
    <cx:title pos="t" align="ctr" overlay="0">
      <cx:tx>
        <cx:txData>
          <cx:v>Statistic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Statistic chart</a:t>
          </a:r>
        </a:p>
      </cx:txPr>
    </cx:title>
    <cx:plotArea>
      <cx:plotAreaRegion>
        <cx:series layoutId="clusteredColumn" uniqueId="{F6F33ADF-E05F-40D7-A681-653A160990D1}" formatIdx="0">
          <cx:tx>
            <cx:txData>
              <cx:f>_xlchart.v1.11</cx:f>
              <cx:v>Exercise Hours</cx:v>
            </cx:txData>
          </cx:tx>
          <cx:dataId val="0"/>
          <cx:layoutPr>
            <cx:binning intervalClosed="r"/>
          </cx:layoutPr>
        </cx:series>
        <cx:series layoutId="clusteredColumn" hidden="1" uniqueId="{CEBB5191-D855-4341-9CBD-1DF66DF8D06F}" formatIdx="1">
          <cx:tx>
            <cx:txData>
              <cx:f>_xlchart.v1.13</cx:f>
              <cx:v>Weight (kg)</cx:v>
            </cx:txData>
          </cx:tx>
          <cx:dataId val="1"/>
          <cx:layoutPr>
            <cx:binning intervalClosed="r"/>
          </cx:layoutPr>
        </cx:series>
        <cx:series layoutId="clusteredColumn" hidden="1" uniqueId="{648673D1-2989-42EB-877E-F506EC323BDD}" formatIdx="2">
          <cx:tx>
            <cx:txData>
              <cx:f>_xlchart.v1.15</cx:f>
              <cx:v>Blood Pressure</cx:v>
            </cx:txData>
          </cx:tx>
          <cx:dataId val="2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74951</xdr:colOff>
      <xdr:row>0</xdr:row>
      <xdr:rowOff>71203</xdr:rowOff>
    </xdr:from>
    <xdr:to>
      <xdr:col>7</xdr:col>
      <xdr:colOff>91607</xdr:colOff>
      <xdr:row>8</xdr:row>
      <xdr:rowOff>158229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E4F546-3C84-AC03-4A20-124062AA8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62459</xdr:colOff>
      <xdr:row>9</xdr:row>
      <xdr:rowOff>25400</xdr:rowOff>
    </xdr:from>
    <xdr:to>
      <xdr:col>7</xdr:col>
      <xdr:colOff>95771</xdr:colOff>
      <xdr:row>16</xdr:row>
      <xdr:rowOff>129082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6A19AD-7D5A-0689-62BB-35E91A400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133247</xdr:colOff>
      <xdr:row>0</xdr:row>
      <xdr:rowOff>67039</xdr:rowOff>
    </xdr:from>
    <xdr:to>
      <xdr:col>11</xdr:col>
      <xdr:colOff>152401</xdr:colOff>
      <xdr:row>8</xdr:row>
      <xdr:rowOff>158229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10D6A59-5F6A-8F3D-7F6D-0285BDB6A6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79567" y="67039"/>
              <a:ext cx="2457554" cy="15542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95249</xdr:colOff>
      <xdr:row>18</xdr:row>
      <xdr:rowOff>17929</xdr:rowOff>
    </xdr:from>
    <xdr:to>
      <xdr:col>7</xdr:col>
      <xdr:colOff>453837</xdr:colOff>
      <xdr:row>28</xdr:row>
      <xdr:rowOff>100852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63B56C-692A-72C7-C4A0-6AA35ADE2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145677</xdr:colOff>
      <xdr:row>9</xdr:row>
      <xdr:rowOff>17929</xdr:rowOff>
    </xdr:from>
    <xdr:to>
      <xdr:col>11</xdr:col>
      <xdr:colOff>588309</xdr:colOff>
      <xdr:row>17</xdr:row>
      <xdr:rowOff>173690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F0C0737-50DA-44F0-BF5F-8264F10D1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119529</xdr:colOff>
      <xdr:row>0</xdr:row>
      <xdr:rowOff>49804</xdr:rowOff>
    </xdr:from>
    <xdr:to>
      <xdr:col>8</xdr:col>
      <xdr:colOff>422562</xdr:colOff>
      <xdr:row>11</xdr:row>
      <xdr:rowOff>131617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F1439-BB1C-92D2-8D2C-5A35871BB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211531</xdr:colOff>
      <xdr:row>0</xdr:row>
      <xdr:rowOff>83127</xdr:rowOff>
    </xdr:from>
    <xdr:to>
      <xdr:col>19</xdr:col>
      <xdr:colOff>401781</xdr:colOff>
      <xdr:row>11</xdr:row>
      <xdr:rowOff>142032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185B9-7583-DDDB-567F-AA279BA06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505691</xdr:colOff>
      <xdr:row>0</xdr:row>
      <xdr:rowOff>0</xdr:rowOff>
    </xdr:from>
    <xdr:to>
      <xdr:col>14</xdr:col>
      <xdr:colOff>96981</xdr:colOff>
      <xdr:row>12</xdr:row>
      <xdr:rowOff>145472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1DA2608-44DE-D439-35F9-E5A3FC465A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11191" y="0"/>
              <a:ext cx="3248890" cy="23400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257621</xdr:colOff>
      <xdr:row>14</xdr:row>
      <xdr:rowOff>20146</xdr:rowOff>
    </xdr:from>
    <xdr:to>
      <xdr:col>16</xdr:col>
      <xdr:colOff>55418</xdr:colOff>
      <xdr:row>26</xdr:row>
      <xdr:rowOff>41564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E52A2F-953D-0A65-C13D-33B2905FA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107373</xdr:colOff>
      <xdr:row>12</xdr:row>
      <xdr:rowOff>155864</xdr:rowOff>
    </xdr:from>
    <xdr:to>
      <xdr:col>10</xdr:col>
      <xdr:colOff>34636</xdr:colOff>
      <xdr:row>27</xdr:row>
      <xdr:rowOff>96982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229DE4-EA56-838D-253C-4C16469AB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0</xdr:row>
      <xdr:rowOff>49530</xdr:rowOff>
    </xdr:from>
    <xdr:to>
      <xdr:col>10</xdr:col>
      <xdr:colOff>358140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AB5C1B-1FE2-602D-3522-7C1CFF9F3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397565</xdr:colOff>
      <xdr:row>0</xdr:row>
      <xdr:rowOff>43070</xdr:rowOff>
    </xdr:from>
    <xdr:to>
      <xdr:col>16</xdr:col>
      <xdr:colOff>549966</xdr:colOff>
      <xdr:row>12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314EE-CCD0-AE47-EC10-257764E8B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132522</xdr:colOff>
      <xdr:row>13</xdr:row>
      <xdr:rowOff>53008</xdr:rowOff>
    </xdr:from>
    <xdr:to>
      <xdr:col>10</xdr:col>
      <xdr:colOff>477079</xdr:colOff>
      <xdr:row>26</xdr:row>
      <xdr:rowOff>119269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9D4B0C1-347F-EB29-B20D-73CE9E9D86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0582" y="2613328"/>
              <a:ext cx="4002157" cy="24513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589721</xdr:colOff>
      <xdr:row>13</xdr:row>
      <xdr:rowOff>49695</xdr:rowOff>
    </xdr:from>
    <xdr:to>
      <xdr:col>17</xdr:col>
      <xdr:colOff>26505</xdr:colOff>
      <xdr:row>27</xdr:row>
      <xdr:rowOff>19878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B25E19-77CD-9F43-D6FB-E46CF6155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192156</xdr:colOff>
      <xdr:row>26</xdr:row>
      <xdr:rowOff>149087</xdr:rowOff>
    </xdr:from>
    <xdr:to>
      <xdr:col>11</xdr:col>
      <xdr:colOff>496956</xdr:colOff>
      <xdr:row>41</xdr:row>
      <xdr:rowOff>109331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49E0AE-EAA0-A38F-5E9D-A2632E015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B7F007-4281-4392-B57F-64BFE7FF5628}" name="Table1" displayName="Table1" ref="A1:C18" totalsRowShown="0" dataDxfId="9">
  <autoFilter ref="A1:C18" xr:uid="{7AB7F007-4281-4392-B57F-64BFE7FF5628}"/>
  <tableColumns count="3">
    <tableColumn id="1" xr3:uid="{D40CEDB0-65D3-4D7E-B927-E553A6D9E9FB}" name="Month " dataDxfId="8"/>
    <tableColumn id="2" xr3:uid="{250769C8-9124-430B-9BAF-892DAAD60303}" name="Advertising Cost" dataDxfId="7"/>
    <tableColumn id="3" xr3:uid="{1FB94104-143A-485F-A32D-259367F5444D}" name="Sales" dataDxfId="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E8AC3F-CD96-432B-8B26-B17A81B34E5E}" name="Table2" displayName="Table2" ref="A1:C11" totalsRowShown="0" headerRowDxfId="14" dataDxfId="13">
  <autoFilter ref="A1:C11" xr:uid="{6DE8AC3F-CD96-432B-8B26-B17A81B34E5E}"/>
  <tableColumns count="3">
    <tableColumn id="1" xr3:uid="{6FB34AE7-D218-4D28-8DDC-1DF42A2CD9C4}" name="Employee" dataDxfId="12"/>
    <tableColumn id="2" xr3:uid="{937A39CF-6CDD-4CA4-8C0F-57C581092A25}" name="Experience (Years)" dataDxfId="11"/>
    <tableColumn id="3" xr3:uid="{71DFBF76-1EFB-4D97-8E96-86F0A9C19F12}" name="Salary (₹1000)" dataDxfId="10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73C23E-0FCB-453A-B502-67E082431780}" name="Table3" displayName="Table3" ref="A1:D18" totalsRowShown="0" headerRowDxfId="5" dataDxfId="4">
  <autoFilter ref="A1:D18" xr:uid="{AE73C23E-0FCB-453A-B502-67E082431780}"/>
  <tableColumns count="4">
    <tableColumn id="1" xr3:uid="{C2424515-578B-49E1-984E-ED14F2F72F4E}" name="Person" dataDxfId="3"/>
    <tableColumn id="2" xr3:uid="{349970B4-2426-4678-9306-D87E60F4BAB2}" name="Exercise Hours" dataDxfId="2"/>
    <tableColumn id="3" xr3:uid="{549E115D-5019-4C1F-A15B-BE59F59E0A51}" name="Weight (kg)" dataDxfId="1"/>
    <tableColumn id="4" xr3:uid="{80A6AF9F-2E95-4292-8D87-45CA8424B5CD}" name="Blood Pressur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51F5-079C-4A73-9654-8ED34A5BBBE7}">
  <dimension ref="A1:J53"/>
  <sheetViews>
    <sheetView zoomScale="136" workbookViewId="0">
      <selection activeCell="M7" sqref="M7"/>
    </sheetView>
  </sheetViews>
  <sheetFormatPr defaultRowHeight="14.4" x14ac:dyDescent="0.3"/>
  <cols>
    <col min="1" max="1" width="11.33203125" customWidth="1"/>
    <col min="2" max="2" width="14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>
        <v>10</v>
      </c>
      <c r="C2" s="1">
        <v>100</v>
      </c>
    </row>
    <row r="3" spans="1:3" x14ac:dyDescent="0.3">
      <c r="A3" s="1" t="s">
        <v>4</v>
      </c>
      <c r="B3" s="1">
        <v>12</v>
      </c>
      <c r="C3" s="1">
        <v>120</v>
      </c>
    </row>
    <row r="4" spans="1:3" x14ac:dyDescent="0.3">
      <c r="A4" s="1" t="s">
        <v>5</v>
      </c>
      <c r="B4" s="1">
        <v>15</v>
      </c>
      <c r="C4" s="1">
        <v>135</v>
      </c>
    </row>
    <row r="5" spans="1:3" x14ac:dyDescent="0.3">
      <c r="A5" s="1" t="s">
        <v>6</v>
      </c>
      <c r="B5" s="1">
        <v>18</v>
      </c>
      <c r="C5" s="1">
        <v>150</v>
      </c>
    </row>
    <row r="6" spans="1:3" x14ac:dyDescent="0.3">
      <c r="A6" s="1" t="s">
        <v>7</v>
      </c>
      <c r="B6" s="1">
        <v>20</v>
      </c>
      <c r="C6" s="1">
        <v>170</v>
      </c>
    </row>
    <row r="7" spans="1:3" x14ac:dyDescent="0.3">
      <c r="A7" s="1" t="s">
        <v>8</v>
      </c>
      <c r="B7" s="1">
        <v>22</v>
      </c>
      <c r="C7" s="1">
        <v>180</v>
      </c>
    </row>
    <row r="8" spans="1:3" x14ac:dyDescent="0.3">
      <c r="A8" s="1" t="s">
        <v>9</v>
      </c>
      <c r="B8" s="1">
        <v>25</v>
      </c>
      <c r="C8" s="1">
        <v>200</v>
      </c>
    </row>
    <row r="9" spans="1:3" x14ac:dyDescent="0.3">
      <c r="A9" s="1" t="s">
        <v>10</v>
      </c>
      <c r="B9" s="1">
        <v>28</v>
      </c>
      <c r="C9" s="1">
        <v>220</v>
      </c>
    </row>
    <row r="10" spans="1:3" x14ac:dyDescent="0.3">
      <c r="A10" s="1" t="s">
        <v>11</v>
      </c>
      <c r="B10" s="1">
        <v>30</v>
      </c>
      <c r="C10" s="1">
        <v>240</v>
      </c>
    </row>
    <row r="11" spans="1:3" x14ac:dyDescent="0.3">
      <c r="A11" s="1" t="s">
        <v>12</v>
      </c>
      <c r="B11" s="1">
        <v>35</v>
      </c>
      <c r="C11" s="1">
        <v>260</v>
      </c>
    </row>
    <row r="12" spans="1:3" x14ac:dyDescent="0.3">
      <c r="A12" s="1" t="s">
        <v>13</v>
      </c>
      <c r="B12" s="1">
        <f>AVERAGE(C2:C11)</f>
        <v>177.5</v>
      </c>
      <c r="C12" s="1"/>
    </row>
    <row r="13" spans="1:3" x14ac:dyDescent="0.3">
      <c r="A13" s="1" t="s">
        <v>14</v>
      </c>
      <c r="B13" s="1" t="e">
        <f>MODE(C2:C11)</f>
        <v>#N/A</v>
      </c>
      <c r="C13" s="1"/>
    </row>
    <row r="14" spans="1:3" x14ac:dyDescent="0.3">
      <c r="A14" s="1" t="s">
        <v>15</v>
      </c>
      <c r="B14" s="1">
        <f>MEDIAN(C2:C11)</f>
        <v>175</v>
      </c>
      <c r="C14" s="1"/>
    </row>
    <row r="15" spans="1:3" x14ac:dyDescent="0.3">
      <c r="A15" s="1" t="s">
        <v>16</v>
      </c>
      <c r="B15" s="1">
        <f>MAX(C2:C11)-MIN(C2:C11)</f>
        <v>160</v>
      </c>
      <c r="C15" s="1"/>
    </row>
    <row r="16" spans="1:3" x14ac:dyDescent="0.3">
      <c r="A16" s="1" t="s">
        <v>17</v>
      </c>
      <c r="B16" s="1">
        <f>_xlfn.VAR.S(C2:C11)</f>
        <v>2773.6111111111113</v>
      </c>
      <c r="C16" s="1"/>
    </row>
    <row r="17" spans="1:3" x14ac:dyDescent="0.3">
      <c r="A17" s="1" t="s">
        <v>18</v>
      </c>
      <c r="B17" s="1">
        <f>_xlfn.STDEV.S(C2:C11)</f>
        <v>52.665084364416536</v>
      </c>
      <c r="C17" s="1"/>
    </row>
    <row r="18" spans="1:3" x14ac:dyDescent="0.3">
      <c r="A18" s="1" t="s">
        <v>19</v>
      </c>
      <c r="B18" s="1">
        <f>CORREL(C2:C11,B2:B11)</f>
        <v>0.99731010984622726</v>
      </c>
      <c r="C18" s="1"/>
    </row>
    <row r="19" spans="1:3" ht="15" thickBot="1" x14ac:dyDescent="0.35"/>
    <row r="20" spans="1:3" x14ac:dyDescent="0.3">
      <c r="B20" s="4" t="s">
        <v>33</v>
      </c>
      <c r="C20" s="4"/>
    </row>
    <row r="22" spans="1:3" x14ac:dyDescent="0.3">
      <c r="B22" t="s">
        <v>20</v>
      </c>
      <c r="C22">
        <v>21.5</v>
      </c>
    </row>
    <row r="23" spans="1:3" x14ac:dyDescent="0.3">
      <c r="B23" t="s">
        <v>21</v>
      </c>
      <c r="C23">
        <v>2.5571251218680886</v>
      </c>
    </row>
    <row r="24" spans="1:3" x14ac:dyDescent="0.3">
      <c r="B24" t="s">
        <v>22</v>
      </c>
      <c r="C24">
        <v>21</v>
      </c>
    </row>
    <row r="25" spans="1:3" x14ac:dyDescent="0.3">
      <c r="B25" t="s">
        <v>23</v>
      </c>
      <c r="C25" t="e">
        <v>#N/A</v>
      </c>
    </row>
    <row r="26" spans="1:3" x14ac:dyDescent="0.3">
      <c r="B26" t="s">
        <v>24</v>
      </c>
      <c r="C26">
        <v>8.0863396471388018</v>
      </c>
    </row>
    <row r="27" spans="1:3" x14ac:dyDescent="0.3">
      <c r="B27" t="s">
        <v>25</v>
      </c>
      <c r="C27">
        <v>65.388888888888886</v>
      </c>
    </row>
    <row r="28" spans="1:3" x14ac:dyDescent="0.3">
      <c r="B28" t="s">
        <v>26</v>
      </c>
      <c r="C28">
        <v>-0.87099309983404627</v>
      </c>
    </row>
    <row r="29" spans="1:3" x14ac:dyDescent="0.3">
      <c r="B29" t="s">
        <v>27</v>
      </c>
      <c r="C29">
        <v>0.18203076806738594</v>
      </c>
    </row>
    <row r="30" spans="1:3" x14ac:dyDescent="0.3">
      <c r="B30" t="s">
        <v>28</v>
      </c>
      <c r="C30">
        <v>25</v>
      </c>
    </row>
    <row r="31" spans="1:3" x14ac:dyDescent="0.3">
      <c r="B31" t="s">
        <v>29</v>
      </c>
      <c r="C31">
        <v>10</v>
      </c>
    </row>
    <row r="32" spans="1:3" x14ac:dyDescent="0.3">
      <c r="B32" t="s">
        <v>30</v>
      </c>
      <c r="C32">
        <v>35</v>
      </c>
    </row>
    <row r="33" spans="2:7" x14ac:dyDescent="0.3">
      <c r="B33" t="s">
        <v>31</v>
      </c>
      <c r="C33">
        <v>215</v>
      </c>
    </row>
    <row r="34" spans="2:7" ht="15" thickBot="1" x14ac:dyDescent="0.35">
      <c r="B34" s="2" t="s">
        <v>32</v>
      </c>
      <c r="C34" s="2">
        <v>10</v>
      </c>
    </row>
    <row r="36" spans="2:7" x14ac:dyDescent="0.3">
      <c r="B36" t="s">
        <v>34</v>
      </c>
    </row>
    <row r="37" spans="2:7" ht="15" thickBot="1" x14ac:dyDescent="0.35"/>
    <row r="38" spans="2:7" x14ac:dyDescent="0.3">
      <c r="B38" s="4" t="s">
        <v>35</v>
      </c>
      <c r="C38" s="4"/>
    </row>
    <row r="39" spans="2:7" x14ac:dyDescent="0.3">
      <c r="B39" t="s">
        <v>36</v>
      </c>
      <c r="C39">
        <v>0.99731010984622726</v>
      </c>
    </row>
    <row r="40" spans="2:7" x14ac:dyDescent="0.3">
      <c r="B40" t="s">
        <v>37</v>
      </c>
      <c r="C40">
        <v>0.99462745520149387</v>
      </c>
    </row>
    <row r="41" spans="2:7" x14ac:dyDescent="0.3">
      <c r="B41" t="s">
        <v>38</v>
      </c>
      <c r="C41">
        <v>0.9939558871016807</v>
      </c>
    </row>
    <row r="42" spans="2:7" x14ac:dyDescent="0.3">
      <c r="B42" t="s">
        <v>21</v>
      </c>
      <c r="C42">
        <v>4.0943886835019505</v>
      </c>
    </row>
    <row r="43" spans="2:7" ht="15" thickBot="1" x14ac:dyDescent="0.35">
      <c r="B43" s="2" t="s">
        <v>39</v>
      </c>
      <c r="C43" s="2">
        <v>10</v>
      </c>
    </row>
    <row r="45" spans="2:7" ht="15" thickBot="1" x14ac:dyDescent="0.35">
      <c r="B45" t="s">
        <v>40</v>
      </c>
    </row>
    <row r="46" spans="2:7" x14ac:dyDescent="0.3">
      <c r="B46" s="3"/>
      <c r="C46" s="3" t="s">
        <v>45</v>
      </c>
      <c r="D46" s="3" t="s">
        <v>46</v>
      </c>
      <c r="E46" s="3" t="s">
        <v>47</v>
      </c>
      <c r="F46" s="3" t="s">
        <v>48</v>
      </c>
      <c r="G46" s="3" t="s">
        <v>49</v>
      </c>
    </row>
    <row r="47" spans="2:7" x14ac:dyDescent="0.3">
      <c r="B47" t="s">
        <v>41</v>
      </c>
      <c r="C47">
        <v>1</v>
      </c>
      <c r="D47">
        <v>24828.38785046729</v>
      </c>
      <c r="E47">
        <v>24828.38785046729</v>
      </c>
      <c r="F47">
        <v>1481.0522648083577</v>
      </c>
      <c r="G47">
        <v>2.2830409490744151E-10</v>
      </c>
    </row>
    <row r="48" spans="2:7" x14ac:dyDescent="0.3">
      <c r="B48" t="s">
        <v>42</v>
      </c>
      <c r="C48">
        <v>8</v>
      </c>
      <c r="D48">
        <v>134.1121495327107</v>
      </c>
      <c r="E48">
        <v>16.764018691588838</v>
      </c>
    </row>
    <row r="49" spans="2:10" ht="15" thickBot="1" x14ac:dyDescent="0.35">
      <c r="B49" s="2" t="s">
        <v>43</v>
      </c>
      <c r="C49" s="2">
        <v>9</v>
      </c>
      <c r="D49" s="2">
        <v>24962.5</v>
      </c>
      <c r="E49" s="2"/>
      <c r="F49" s="2"/>
      <c r="G49" s="2"/>
    </row>
    <row r="50" spans="2:10" ht="15" thickBot="1" x14ac:dyDescent="0.35"/>
    <row r="51" spans="2:10" x14ac:dyDescent="0.3">
      <c r="B51" s="3"/>
      <c r="C51" s="3" t="s">
        <v>50</v>
      </c>
      <c r="D51" s="3" t="s">
        <v>21</v>
      </c>
      <c r="E51" s="3" t="s">
        <v>51</v>
      </c>
      <c r="F51" s="3" t="s">
        <v>52</v>
      </c>
      <c r="G51" s="3" t="s">
        <v>53</v>
      </c>
      <c r="H51" s="3" t="s">
        <v>54</v>
      </c>
      <c r="I51" s="3" t="s">
        <v>55</v>
      </c>
      <c r="J51" s="3" t="s">
        <v>56</v>
      </c>
    </row>
    <row r="52" spans="2:10" x14ac:dyDescent="0.3">
      <c r="B52" t="s">
        <v>44</v>
      </c>
      <c r="C52">
        <v>37.850467289719631</v>
      </c>
      <c r="D52">
        <v>3.852799165630489</v>
      </c>
      <c r="E52">
        <v>9.82414749965967</v>
      </c>
      <c r="F52">
        <v>9.6888570442076088E-6</v>
      </c>
      <c r="G52">
        <v>28.965896481664558</v>
      </c>
      <c r="H52">
        <v>46.735038097774705</v>
      </c>
      <c r="I52">
        <v>28.965896481664558</v>
      </c>
      <c r="J52">
        <v>46.735038097774705</v>
      </c>
    </row>
    <row r="53" spans="2:10" ht="15" thickBot="1" x14ac:dyDescent="0.35">
      <c r="B53" s="2" t="s">
        <v>57</v>
      </c>
      <c r="C53" s="2">
        <v>6.4953271028037385</v>
      </c>
      <c r="D53" s="2">
        <v>0.16877799936549667</v>
      </c>
      <c r="E53" s="2">
        <v>38.484441853927912</v>
      </c>
      <c r="F53" s="2">
        <v>2.2830409490744071E-10</v>
      </c>
      <c r="G53" s="2">
        <v>6.1061243383354169</v>
      </c>
      <c r="H53" s="2">
        <v>6.8845298672720601</v>
      </c>
      <c r="I53" s="2">
        <v>6.1061243383354169</v>
      </c>
      <c r="J53" s="2">
        <v>6.8845298672720601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F51F-868B-4FD4-B64C-B6B331110A74}">
  <dimension ref="A1:J52"/>
  <sheetViews>
    <sheetView zoomScale="110" workbookViewId="0">
      <selection activeCell="Q17" sqref="Q17"/>
    </sheetView>
  </sheetViews>
  <sheetFormatPr defaultRowHeight="14.4" x14ac:dyDescent="0.3"/>
  <cols>
    <col min="1" max="1" width="10.21875" customWidth="1"/>
    <col min="2" max="2" width="17.5546875" customWidth="1"/>
    <col min="3" max="3" width="13.88671875" customWidth="1"/>
  </cols>
  <sheetData>
    <row r="1" spans="1:3" x14ac:dyDescent="0.3">
      <c r="A1" s="5" t="s">
        <v>58</v>
      </c>
      <c r="B1" s="5" t="s">
        <v>59</v>
      </c>
      <c r="C1" s="5" t="s">
        <v>60</v>
      </c>
    </row>
    <row r="2" spans="1:3" x14ac:dyDescent="0.3">
      <c r="A2" s="1" t="s">
        <v>61</v>
      </c>
      <c r="B2" s="1">
        <v>1</v>
      </c>
      <c r="C2" s="1">
        <v>20</v>
      </c>
    </row>
    <row r="3" spans="1:3" x14ac:dyDescent="0.3">
      <c r="A3" s="1" t="s">
        <v>62</v>
      </c>
      <c r="B3" s="1">
        <v>2</v>
      </c>
      <c r="C3" s="1">
        <v>25</v>
      </c>
    </row>
    <row r="4" spans="1:3" x14ac:dyDescent="0.3">
      <c r="A4" s="1" t="s">
        <v>63</v>
      </c>
      <c r="B4" s="1">
        <v>3</v>
      </c>
      <c r="C4" s="1">
        <v>28</v>
      </c>
    </row>
    <row r="5" spans="1:3" x14ac:dyDescent="0.3">
      <c r="A5" s="1" t="s">
        <v>64</v>
      </c>
      <c r="B5" s="1">
        <v>4</v>
      </c>
      <c r="C5" s="1">
        <v>35</v>
      </c>
    </row>
    <row r="6" spans="1:3" x14ac:dyDescent="0.3">
      <c r="A6" s="1" t="s">
        <v>65</v>
      </c>
      <c r="B6" s="1">
        <v>5</v>
      </c>
      <c r="C6" s="1">
        <v>40</v>
      </c>
    </row>
    <row r="7" spans="1:3" x14ac:dyDescent="0.3">
      <c r="A7" s="1" t="s">
        <v>66</v>
      </c>
      <c r="B7" s="1">
        <v>6</v>
      </c>
      <c r="C7" s="1">
        <v>45</v>
      </c>
    </row>
    <row r="8" spans="1:3" x14ac:dyDescent="0.3">
      <c r="A8" s="1" t="s">
        <v>67</v>
      </c>
      <c r="B8" s="1">
        <v>7</v>
      </c>
      <c r="C8" s="1">
        <v>50</v>
      </c>
    </row>
    <row r="9" spans="1:3" x14ac:dyDescent="0.3">
      <c r="A9" s="1" t="s">
        <v>68</v>
      </c>
      <c r="B9" s="1">
        <v>8</v>
      </c>
      <c r="C9" s="1">
        <v>55</v>
      </c>
    </row>
    <row r="10" spans="1:3" x14ac:dyDescent="0.3">
      <c r="A10" s="1" t="s">
        <v>69</v>
      </c>
      <c r="B10" s="1">
        <v>9</v>
      </c>
      <c r="C10" s="1">
        <v>60</v>
      </c>
    </row>
    <row r="11" spans="1:3" x14ac:dyDescent="0.3">
      <c r="A11" s="1" t="s">
        <v>70</v>
      </c>
      <c r="B11" s="1">
        <v>10</v>
      </c>
      <c r="C11" s="1">
        <v>70</v>
      </c>
    </row>
    <row r="12" spans="1:3" x14ac:dyDescent="0.3">
      <c r="A12" s="1" t="s">
        <v>13</v>
      </c>
      <c r="B12">
        <f>AVERAGE(C2:C11)</f>
        <v>42.8</v>
      </c>
    </row>
    <row r="13" spans="1:3" x14ac:dyDescent="0.3">
      <c r="A13" s="1" t="s">
        <v>15</v>
      </c>
      <c r="B13">
        <f>MEDIAN(C2:C11)</f>
        <v>42.5</v>
      </c>
    </row>
    <row r="14" spans="1:3" x14ac:dyDescent="0.3">
      <c r="A14" s="1" t="s">
        <v>14</v>
      </c>
      <c r="B14" t="e">
        <f>MODE(C2:C11)</f>
        <v>#N/A</v>
      </c>
    </row>
    <row r="15" spans="1:3" x14ac:dyDescent="0.3">
      <c r="A15" s="1" t="s">
        <v>16</v>
      </c>
      <c r="B15">
        <f>MAX(C2:C11)-MIN(C2:C11)</f>
        <v>50</v>
      </c>
    </row>
    <row r="16" spans="1:3" x14ac:dyDescent="0.3">
      <c r="A16" s="1" t="s">
        <v>17</v>
      </c>
      <c r="B16">
        <f>_xlfn.VAR.S(C2:C11)</f>
        <v>262.84444444444426</v>
      </c>
    </row>
    <row r="17" spans="1:3" x14ac:dyDescent="0.3">
      <c r="A17" s="1" t="s">
        <v>18</v>
      </c>
      <c r="B17">
        <f>_xlfn.STDEV.S(C2:C11)</f>
        <v>16.212478047616418</v>
      </c>
    </row>
    <row r="18" spans="1:3" ht="15" thickBot="1" x14ac:dyDescent="0.35">
      <c r="A18" s="1" t="s">
        <v>71</v>
      </c>
      <c r="B18">
        <f>CORREL(C2:C11,B2:B11)</f>
        <v>0.99599015694955029</v>
      </c>
    </row>
    <row r="19" spans="1:3" x14ac:dyDescent="0.3">
      <c r="B19" s="4" t="s">
        <v>72</v>
      </c>
      <c r="C19" s="4"/>
    </row>
    <row r="21" spans="1:3" x14ac:dyDescent="0.3">
      <c r="B21" t="s">
        <v>20</v>
      </c>
      <c r="C21">
        <v>8.8909090909090907</v>
      </c>
    </row>
    <row r="22" spans="1:3" x14ac:dyDescent="0.3">
      <c r="B22" t="s">
        <v>21</v>
      </c>
      <c r="C22">
        <v>3.4997520573334784</v>
      </c>
    </row>
    <row r="23" spans="1:3" x14ac:dyDescent="0.3">
      <c r="B23" t="s">
        <v>22</v>
      </c>
      <c r="C23">
        <v>6</v>
      </c>
    </row>
    <row r="24" spans="1:3" x14ac:dyDescent="0.3">
      <c r="B24" t="s">
        <v>23</v>
      </c>
      <c r="C24" t="e">
        <v>#N/A</v>
      </c>
    </row>
    <row r="25" spans="1:3" x14ac:dyDescent="0.3">
      <c r="B25" t="s">
        <v>24</v>
      </c>
      <c r="C25">
        <v>11.607364433449527</v>
      </c>
    </row>
    <row r="26" spans="1:3" x14ac:dyDescent="0.3">
      <c r="B26" t="s">
        <v>25</v>
      </c>
      <c r="C26">
        <v>134.73090909090905</v>
      </c>
    </row>
    <row r="27" spans="1:3" x14ac:dyDescent="0.3">
      <c r="B27" t="s">
        <v>26</v>
      </c>
      <c r="C27">
        <v>9.2691517882304026</v>
      </c>
    </row>
    <row r="28" spans="1:3" x14ac:dyDescent="0.3">
      <c r="B28" t="s">
        <v>27</v>
      </c>
      <c r="C28">
        <v>2.9511152842306272</v>
      </c>
    </row>
    <row r="29" spans="1:3" x14ac:dyDescent="0.3">
      <c r="B29" t="s">
        <v>28</v>
      </c>
      <c r="C29">
        <v>41.8</v>
      </c>
    </row>
    <row r="30" spans="1:3" x14ac:dyDescent="0.3">
      <c r="B30" t="s">
        <v>29</v>
      </c>
      <c r="C30">
        <v>1</v>
      </c>
    </row>
    <row r="31" spans="1:3" x14ac:dyDescent="0.3">
      <c r="B31" t="s">
        <v>30</v>
      </c>
      <c r="C31">
        <v>42.8</v>
      </c>
    </row>
    <row r="32" spans="1:3" x14ac:dyDescent="0.3">
      <c r="B32" t="s">
        <v>31</v>
      </c>
      <c r="C32">
        <v>97.8</v>
      </c>
    </row>
    <row r="33" spans="2:7" ht="15" thickBot="1" x14ac:dyDescent="0.35">
      <c r="B33" s="2" t="s">
        <v>32</v>
      </c>
      <c r="C33" s="2">
        <v>11</v>
      </c>
    </row>
    <row r="35" spans="2:7" x14ac:dyDescent="0.3">
      <c r="B35" t="s">
        <v>34</v>
      </c>
    </row>
    <row r="36" spans="2:7" ht="15" thickBot="1" x14ac:dyDescent="0.35"/>
    <row r="37" spans="2:7" x14ac:dyDescent="0.3">
      <c r="B37" s="4" t="s">
        <v>35</v>
      </c>
      <c r="C37" s="4"/>
    </row>
    <row r="38" spans="2:7" x14ac:dyDescent="0.3">
      <c r="B38" t="s">
        <v>36</v>
      </c>
      <c r="C38">
        <v>0.9959901569495504</v>
      </c>
    </row>
    <row r="39" spans="2:7" x14ac:dyDescent="0.3">
      <c r="B39" t="s">
        <v>37</v>
      </c>
      <c r="C39">
        <v>0.99199639274038998</v>
      </c>
    </row>
    <row r="40" spans="2:7" x14ac:dyDescent="0.3">
      <c r="B40" t="s">
        <v>38</v>
      </c>
      <c r="C40">
        <v>0.99099594183293882</v>
      </c>
    </row>
    <row r="41" spans="2:7" x14ac:dyDescent="0.3">
      <c r="B41" t="s">
        <v>21</v>
      </c>
      <c r="C41">
        <v>1.5383974345619102</v>
      </c>
    </row>
    <row r="42" spans="2:7" ht="15" thickBot="1" x14ac:dyDescent="0.35">
      <c r="B42" s="2" t="s">
        <v>39</v>
      </c>
      <c r="C42" s="2">
        <v>10</v>
      </c>
    </row>
    <row r="44" spans="2:7" ht="15" thickBot="1" x14ac:dyDescent="0.35">
      <c r="B44" t="s">
        <v>40</v>
      </c>
    </row>
    <row r="45" spans="2:7" x14ac:dyDescent="0.3">
      <c r="B45" s="3"/>
      <c r="C45" s="3" t="s">
        <v>45</v>
      </c>
      <c r="D45" s="3" t="s">
        <v>46</v>
      </c>
      <c r="E45" s="3" t="s">
        <v>47</v>
      </c>
      <c r="F45" s="3" t="s">
        <v>48</v>
      </c>
      <c r="G45" s="3" t="s">
        <v>49</v>
      </c>
    </row>
    <row r="46" spans="2:7" x14ac:dyDescent="0.3">
      <c r="B46" t="s">
        <v>41</v>
      </c>
      <c r="C46">
        <v>1</v>
      </c>
      <c r="D46">
        <v>2346.666666666667</v>
      </c>
      <c r="E46">
        <v>2346.666666666667</v>
      </c>
      <c r="F46">
        <v>991.54929577464804</v>
      </c>
      <c r="G46">
        <v>1.1256315915312764E-9</v>
      </c>
    </row>
    <row r="47" spans="2:7" x14ac:dyDescent="0.3">
      <c r="B47" t="s">
        <v>42</v>
      </c>
      <c r="C47">
        <v>8</v>
      </c>
      <c r="D47">
        <v>18.933333333333334</v>
      </c>
      <c r="E47">
        <v>2.3666666666666667</v>
      </c>
    </row>
    <row r="48" spans="2:7" ht="15" thickBot="1" x14ac:dyDescent="0.35">
      <c r="B48" s="2" t="s">
        <v>43</v>
      </c>
      <c r="C48" s="2">
        <v>9</v>
      </c>
      <c r="D48" s="2">
        <v>2365.6000000000004</v>
      </c>
      <c r="E48" s="2"/>
      <c r="F48" s="2"/>
      <c r="G48" s="2"/>
    </row>
    <row r="49" spans="2:10" ht="15" thickBot="1" x14ac:dyDescent="0.35"/>
    <row r="50" spans="2:10" x14ac:dyDescent="0.3">
      <c r="B50" s="3"/>
      <c r="C50" s="3" t="s">
        <v>50</v>
      </c>
      <c r="D50" s="3" t="s">
        <v>21</v>
      </c>
      <c r="E50" s="3" t="s">
        <v>51</v>
      </c>
      <c r="F50" s="3" t="s">
        <v>52</v>
      </c>
      <c r="G50" s="3" t="s">
        <v>53</v>
      </c>
      <c r="H50" s="3" t="s">
        <v>54</v>
      </c>
      <c r="I50" s="3" t="s">
        <v>55</v>
      </c>
      <c r="J50" s="3" t="s">
        <v>56</v>
      </c>
    </row>
    <row r="51" spans="2:10" x14ac:dyDescent="0.3">
      <c r="B51" t="s">
        <v>44</v>
      </c>
      <c r="C51">
        <v>13.466666666666654</v>
      </c>
      <c r="D51">
        <v>1.0509255180289632</v>
      </c>
      <c r="E51">
        <v>12.814101889850122</v>
      </c>
      <c r="F51">
        <v>1.2980982063181462E-6</v>
      </c>
      <c r="G51">
        <v>11.043228076300284</v>
      </c>
      <c r="H51">
        <v>15.890105257033024</v>
      </c>
      <c r="I51">
        <v>11.043228076300284</v>
      </c>
      <c r="J51">
        <v>15.890105257033024</v>
      </c>
    </row>
    <row r="52" spans="2:10" ht="15" thickBot="1" x14ac:dyDescent="0.35">
      <c r="B52" s="2" t="s">
        <v>57</v>
      </c>
      <c r="C52" s="2">
        <v>5.3333333333333348</v>
      </c>
      <c r="D52" s="2">
        <v>0.16937198318160146</v>
      </c>
      <c r="E52" s="2">
        <v>31.488875746438588</v>
      </c>
      <c r="F52" s="2">
        <v>1.1256315915312764E-9</v>
      </c>
      <c r="G52" s="2">
        <v>4.9427608397288312</v>
      </c>
      <c r="H52" s="2">
        <v>5.7239058269378384</v>
      </c>
      <c r="I52" s="2">
        <v>4.9427608397288312</v>
      </c>
      <c r="J52" s="2">
        <v>5.7239058269378384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93AE-1416-4BDB-9880-0BD97056DD04}">
  <dimension ref="A1:J53"/>
  <sheetViews>
    <sheetView tabSelected="1" zoomScale="115" workbookViewId="0">
      <selection activeCell="D22" sqref="D22"/>
    </sheetView>
  </sheetViews>
  <sheetFormatPr defaultRowHeight="14.4" x14ac:dyDescent="0.3"/>
  <cols>
    <col min="2" max="2" width="15.109375" customWidth="1"/>
    <col min="3" max="3" width="12.21875" customWidth="1"/>
    <col min="4" max="4" width="15.21875" customWidth="1"/>
  </cols>
  <sheetData>
    <row r="1" spans="1:4" ht="28.8" x14ac:dyDescent="0.3">
      <c r="A1" s="5" t="s">
        <v>73</v>
      </c>
      <c r="B1" s="5" t="s">
        <v>74</v>
      </c>
      <c r="C1" s="5" t="s">
        <v>75</v>
      </c>
      <c r="D1" s="5" t="s">
        <v>76</v>
      </c>
    </row>
    <row r="2" spans="1:4" x14ac:dyDescent="0.3">
      <c r="A2" s="1" t="s">
        <v>77</v>
      </c>
      <c r="B2" s="1">
        <v>1</v>
      </c>
      <c r="C2" s="1">
        <v>85</v>
      </c>
      <c r="D2" s="1">
        <v>140</v>
      </c>
    </row>
    <row r="3" spans="1:4" x14ac:dyDescent="0.3">
      <c r="A3" s="1" t="s">
        <v>78</v>
      </c>
      <c r="B3" s="1">
        <v>2</v>
      </c>
      <c r="C3" s="1">
        <v>82</v>
      </c>
      <c r="D3" s="1">
        <v>138</v>
      </c>
    </row>
    <row r="4" spans="1:4" x14ac:dyDescent="0.3">
      <c r="A4" s="1" t="s">
        <v>79</v>
      </c>
      <c r="B4" s="1">
        <v>3</v>
      </c>
      <c r="C4" s="1">
        <v>80</v>
      </c>
      <c r="D4" s="1">
        <v>132</v>
      </c>
    </row>
    <row r="5" spans="1:4" x14ac:dyDescent="0.3">
      <c r="A5" s="1" t="s">
        <v>80</v>
      </c>
      <c r="B5" s="1">
        <v>4</v>
      </c>
      <c r="C5" s="1">
        <v>76</v>
      </c>
      <c r="D5" s="1">
        <v>128</v>
      </c>
    </row>
    <row r="6" spans="1:4" x14ac:dyDescent="0.3">
      <c r="A6" s="1" t="s">
        <v>81</v>
      </c>
      <c r="B6" s="1">
        <v>5</v>
      </c>
      <c r="C6" s="1">
        <v>72</v>
      </c>
      <c r="D6" s="1">
        <v>124</v>
      </c>
    </row>
    <row r="7" spans="1:4" x14ac:dyDescent="0.3">
      <c r="A7" s="1" t="s">
        <v>82</v>
      </c>
      <c r="B7" s="1">
        <v>6</v>
      </c>
      <c r="C7" s="1">
        <v>70</v>
      </c>
      <c r="D7" s="1">
        <v>120</v>
      </c>
    </row>
    <row r="8" spans="1:4" x14ac:dyDescent="0.3">
      <c r="A8" s="1" t="s">
        <v>83</v>
      </c>
      <c r="B8" s="1">
        <v>2</v>
      </c>
      <c r="C8" s="1">
        <v>84</v>
      </c>
      <c r="D8" s="1">
        <v>136</v>
      </c>
    </row>
    <row r="9" spans="1:4" x14ac:dyDescent="0.3">
      <c r="A9" s="1" t="s">
        <v>84</v>
      </c>
      <c r="B9" s="1">
        <v>3</v>
      </c>
      <c r="C9" s="1">
        <v>78</v>
      </c>
      <c r="D9" s="1">
        <v>130</v>
      </c>
    </row>
    <row r="10" spans="1:4" x14ac:dyDescent="0.3">
      <c r="A10" s="1" t="s">
        <v>85</v>
      </c>
      <c r="B10" s="1">
        <v>5</v>
      </c>
      <c r="C10" s="1">
        <v>74</v>
      </c>
      <c r="D10" s="1">
        <v>125</v>
      </c>
    </row>
    <row r="11" spans="1:4" x14ac:dyDescent="0.3">
      <c r="A11" s="1" t="s">
        <v>86</v>
      </c>
      <c r="B11" s="1">
        <v>6</v>
      </c>
      <c r="C11" s="1">
        <v>68</v>
      </c>
      <c r="D11" s="1">
        <v>118</v>
      </c>
    </row>
    <row r="12" spans="1:4" x14ac:dyDescent="0.3">
      <c r="A12" s="1" t="s">
        <v>13</v>
      </c>
      <c r="B12" s="1">
        <f>AVERAGE(D2:D11)</f>
        <v>129.1</v>
      </c>
      <c r="C12" s="1"/>
      <c r="D12" s="1"/>
    </row>
    <row r="13" spans="1:4" x14ac:dyDescent="0.3">
      <c r="A13" s="1" t="s">
        <v>14</v>
      </c>
      <c r="B13" s="1" t="e">
        <f>MODE(D2:D11)</f>
        <v>#N/A</v>
      </c>
      <c r="C13" s="1"/>
      <c r="D13" s="1"/>
    </row>
    <row r="14" spans="1:4" x14ac:dyDescent="0.3">
      <c r="A14" s="1" t="s">
        <v>15</v>
      </c>
      <c r="B14" s="1">
        <f>MEDIAN(D2:D11)</f>
        <v>129</v>
      </c>
      <c r="C14" s="1"/>
      <c r="D14" s="1"/>
    </row>
    <row r="15" spans="1:4" x14ac:dyDescent="0.3">
      <c r="A15" s="1" t="s">
        <v>16</v>
      </c>
      <c r="B15" s="1">
        <f>MAX(D2:D11)-MIN(D2:D11)</f>
        <v>22</v>
      </c>
      <c r="C15" s="1"/>
      <c r="D15" s="1"/>
    </row>
    <row r="16" spans="1:4" x14ac:dyDescent="0.3">
      <c r="A16" s="1" t="s">
        <v>17</v>
      </c>
      <c r="B16" s="1">
        <f>_xlfn.VAR.S(D2:D11)</f>
        <v>56.099999999999994</v>
      </c>
      <c r="C16" s="1"/>
      <c r="D16" s="1"/>
    </row>
    <row r="17" spans="1:4" x14ac:dyDescent="0.3">
      <c r="A17" s="1" t="s">
        <v>18</v>
      </c>
      <c r="B17" s="1">
        <f>_xlfn.STDEV.S(D2:D11)</f>
        <v>7.4899933244296015</v>
      </c>
      <c r="C17" s="1"/>
      <c r="D17" s="1"/>
    </row>
    <row r="18" spans="1:4" x14ac:dyDescent="0.3">
      <c r="A18" s="1" t="s">
        <v>87</v>
      </c>
      <c r="B18" s="1">
        <f>CORREL(D2:D11,C2:C11)</f>
        <v>0.98648702025889357</v>
      </c>
      <c r="C18" s="1"/>
      <c r="D18" s="1"/>
    </row>
    <row r="19" spans="1:4" ht="15" thickBot="1" x14ac:dyDescent="0.35"/>
    <row r="20" spans="1:4" x14ac:dyDescent="0.3">
      <c r="B20" s="4" t="s">
        <v>72</v>
      </c>
      <c r="C20" s="4"/>
    </row>
    <row r="22" spans="1:4" x14ac:dyDescent="0.3">
      <c r="B22" t="s">
        <v>20</v>
      </c>
      <c r="C22">
        <v>3.7</v>
      </c>
    </row>
    <row r="23" spans="1:4" x14ac:dyDescent="0.3">
      <c r="B23" t="s">
        <v>21</v>
      </c>
      <c r="C23">
        <v>0.5587684871413402</v>
      </c>
    </row>
    <row r="24" spans="1:4" x14ac:dyDescent="0.3">
      <c r="B24" t="s">
        <v>22</v>
      </c>
      <c r="C24">
        <v>3.5</v>
      </c>
    </row>
    <row r="25" spans="1:4" x14ac:dyDescent="0.3">
      <c r="B25" t="s">
        <v>23</v>
      </c>
      <c r="C25">
        <v>2</v>
      </c>
    </row>
    <row r="26" spans="1:4" x14ac:dyDescent="0.3">
      <c r="B26" t="s">
        <v>24</v>
      </c>
      <c r="C26">
        <v>1.7669811040931427</v>
      </c>
    </row>
    <row r="27" spans="1:4" x14ac:dyDescent="0.3">
      <c r="B27" t="s">
        <v>25</v>
      </c>
      <c r="C27">
        <v>3.1222222222222218</v>
      </c>
    </row>
    <row r="28" spans="1:4" x14ac:dyDescent="0.3">
      <c r="B28" t="s">
        <v>26</v>
      </c>
      <c r="C28">
        <v>-1.3835582484662408</v>
      </c>
    </row>
    <row r="29" spans="1:4" x14ac:dyDescent="0.3">
      <c r="B29" t="s">
        <v>27</v>
      </c>
      <c r="C29">
        <v>-3.6252192710716905E-2</v>
      </c>
    </row>
    <row r="30" spans="1:4" x14ac:dyDescent="0.3">
      <c r="B30" t="s">
        <v>28</v>
      </c>
      <c r="C30">
        <v>5</v>
      </c>
    </row>
    <row r="31" spans="1:4" x14ac:dyDescent="0.3">
      <c r="B31" t="s">
        <v>29</v>
      </c>
      <c r="C31">
        <v>1</v>
      </c>
    </row>
    <row r="32" spans="1:4" x14ac:dyDescent="0.3">
      <c r="B32" t="s">
        <v>30</v>
      </c>
      <c r="C32">
        <v>6</v>
      </c>
    </row>
    <row r="33" spans="2:7" x14ac:dyDescent="0.3">
      <c r="B33" t="s">
        <v>31</v>
      </c>
      <c r="C33">
        <v>37</v>
      </c>
    </row>
    <row r="34" spans="2:7" ht="15" thickBot="1" x14ac:dyDescent="0.35">
      <c r="B34" s="2" t="s">
        <v>32</v>
      </c>
      <c r="C34" s="2">
        <v>10</v>
      </c>
    </row>
    <row r="36" spans="2:7" x14ac:dyDescent="0.3">
      <c r="B36" t="s">
        <v>34</v>
      </c>
    </row>
    <row r="37" spans="2:7" ht="15" thickBot="1" x14ac:dyDescent="0.35"/>
    <row r="38" spans="2:7" x14ac:dyDescent="0.3">
      <c r="B38" s="4" t="s">
        <v>35</v>
      </c>
      <c r="C38" s="4"/>
    </row>
    <row r="39" spans="2:7" x14ac:dyDescent="0.3">
      <c r="B39" t="s">
        <v>36</v>
      </c>
      <c r="C39">
        <v>0.98814486366858212</v>
      </c>
    </row>
    <row r="40" spans="2:7" x14ac:dyDescent="0.3">
      <c r="B40" t="s">
        <v>37</v>
      </c>
      <c r="C40">
        <v>0.97643027159460072</v>
      </c>
    </row>
    <row r="41" spans="2:7" x14ac:dyDescent="0.3">
      <c r="B41" t="s">
        <v>38</v>
      </c>
      <c r="C41">
        <v>0.97348405554392592</v>
      </c>
    </row>
    <row r="42" spans="2:7" x14ac:dyDescent="0.3">
      <c r="B42" t="s">
        <v>21</v>
      </c>
      <c r="C42">
        <v>1.2196493282848817</v>
      </c>
    </row>
    <row r="43" spans="2:7" ht="15" thickBot="1" x14ac:dyDescent="0.35">
      <c r="B43" s="2" t="s">
        <v>39</v>
      </c>
      <c r="C43" s="2">
        <v>10</v>
      </c>
    </row>
    <row r="45" spans="2:7" ht="15" thickBot="1" x14ac:dyDescent="0.35">
      <c r="B45" t="s">
        <v>40</v>
      </c>
    </row>
    <row r="46" spans="2:7" x14ac:dyDescent="0.3">
      <c r="B46" s="3"/>
      <c r="C46" s="3" t="s">
        <v>45</v>
      </c>
      <c r="D46" s="3" t="s">
        <v>46</v>
      </c>
      <c r="E46" s="3" t="s">
        <v>47</v>
      </c>
      <c r="F46" s="3" t="s">
        <v>48</v>
      </c>
      <c r="G46" s="3" t="s">
        <v>49</v>
      </c>
    </row>
    <row r="47" spans="2:7" x14ac:dyDescent="0.3">
      <c r="B47" t="s">
        <v>41</v>
      </c>
      <c r="C47">
        <v>1</v>
      </c>
      <c r="D47">
        <v>492.99964412811386</v>
      </c>
      <c r="E47">
        <v>492.99964412811386</v>
      </c>
      <c r="F47">
        <v>331.41842105263203</v>
      </c>
      <c r="G47">
        <v>8.5194677031600373E-8</v>
      </c>
    </row>
    <row r="48" spans="2:7" x14ac:dyDescent="0.3">
      <c r="B48" t="s">
        <v>42</v>
      </c>
      <c r="C48">
        <v>8</v>
      </c>
      <c r="D48">
        <v>11.900355871886104</v>
      </c>
      <c r="E48">
        <v>1.487544483985763</v>
      </c>
    </row>
    <row r="49" spans="2:10" ht="15" thickBot="1" x14ac:dyDescent="0.35">
      <c r="B49" s="2" t="s">
        <v>43</v>
      </c>
      <c r="C49" s="2">
        <v>9</v>
      </c>
      <c r="D49" s="2">
        <v>504.9</v>
      </c>
      <c r="E49" s="2"/>
      <c r="F49" s="2"/>
      <c r="G49" s="2"/>
    </row>
    <row r="50" spans="2:10" ht="15" thickBot="1" x14ac:dyDescent="0.35"/>
    <row r="51" spans="2:10" x14ac:dyDescent="0.3">
      <c r="B51" s="3"/>
      <c r="C51" s="3" t="s">
        <v>50</v>
      </c>
      <c r="D51" s="3" t="s">
        <v>21</v>
      </c>
      <c r="E51" s="3" t="s">
        <v>51</v>
      </c>
      <c r="F51" s="3" t="s">
        <v>52</v>
      </c>
      <c r="G51" s="3" t="s">
        <v>53</v>
      </c>
      <c r="H51" s="3" t="s">
        <v>54</v>
      </c>
      <c r="I51" s="3" t="s">
        <v>55</v>
      </c>
      <c r="J51" s="3" t="s">
        <v>56</v>
      </c>
    </row>
    <row r="52" spans="2:10" x14ac:dyDescent="0.3">
      <c r="B52" t="s">
        <v>44</v>
      </c>
      <c r="C52">
        <v>144.59786476868328</v>
      </c>
      <c r="D52">
        <v>0.93459573131278628</v>
      </c>
      <c r="E52">
        <v>154.7170181973471</v>
      </c>
      <c r="F52">
        <v>3.4071471979002225E-15</v>
      </c>
      <c r="G52">
        <v>142.44268314753182</v>
      </c>
      <c r="H52">
        <v>146.75304638983474</v>
      </c>
      <c r="I52">
        <v>142.44268314753182</v>
      </c>
      <c r="J52">
        <v>146.75304638983474</v>
      </c>
    </row>
    <row r="53" spans="2:10" ht="15" thickBot="1" x14ac:dyDescent="0.35">
      <c r="B53" s="2" t="s">
        <v>57</v>
      </c>
      <c r="C53" s="2">
        <v>-4.1886120996441276</v>
      </c>
      <c r="D53" s="2">
        <v>0.23008156406042141</v>
      </c>
      <c r="E53" s="2">
        <v>-18.204901017380784</v>
      </c>
      <c r="F53" s="2">
        <v>8.5194677031600519E-8</v>
      </c>
      <c r="G53" s="2">
        <v>-4.7191811378017015</v>
      </c>
      <c r="H53" s="2">
        <v>-3.6580430614865533</v>
      </c>
      <c r="I53" s="2">
        <v>-4.7191811378017015</v>
      </c>
      <c r="J53" s="2">
        <v>-3.6580430614865533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akhilarangaswamy06@gmail.com</dc:creator>
  <cp:lastModifiedBy>akhilarangaswamy06@gmail.com</cp:lastModifiedBy>
  <dcterms:created xsi:type="dcterms:W3CDTF">2026-05-26T16:15:16Z</dcterms:created>
  <dcterms:modified xsi:type="dcterms:W3CDTF">2026-05-27T04:11:37Z</dcterms:modified>
</cp:coreProperties>
</file>